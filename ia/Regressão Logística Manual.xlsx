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Regressao" sheetId="2" r:id="rId6"/>
  </sheets>
  <definedNames/>
  <calcPr/>
</workbook>
</file>

<file path=xl/sharedStrings.xml><?xml version="1.0" encoding="utf-8"?>
<sst xmlns="http://schemas.openxmlformats.org/spreadsheetml/2006/main" count="508" uniqueCount="41">
  <si>
    <t>Idade</t>
  </si>
  <si>
    <t>Sexo</t>
  </si>
  <si>
    <t>Pressão Sanguínea</t>
  </si>
  <si>
    <t>Colesterol</t>
  </si>
  <si>
    <t>Batimentos Cardíacos</t>
  </si>
  <si>
    <t>Nível de Açúcar no Sangue</t>
  </si>
  <si>
    <t>Histórico Familiar</t>
  </si>
  <si>
    <t>Ataque Cardíaco</t>
  </si>
  <si>
    <t>M</t>
  </si>
  <si>
    <t>Sim</t>
  </si>
  <si>
    <t>F</t>
  </si>
  <si>
    <t>Não</t>
  </si>
  <si>
    <t>RECODIFICAR</t>
  </si>
  <si>
    <t>e_feminino</t>
  </si>
  <si>
    <t>Média</t>
  </si>
  <si>
    <t>Desvio Padrão</t>
  </si>
  <si>
    <t>Viés</t>
  </si>
  <si>
    <t>x1</t>
  </si>
  <si>
    <t>x2</t>
  </si>
  <si>
    <t>x3</t>
  </si>
  <si>
    <t>x4</t>
  </si>
  <si>
    <t>x5</t>
  </si>
  <si>
    <t>x6</t>
  </si>
  <si>
    <t>x7</t>
  </si>
  <si>
    <t>viés</t>
  </si>
  <si>
    <t>y</t>
  </si>
  <si>
    <t>Taxa aprendizado</t>
  </si>
  <si>
    <t>PESOS</t>
  </si>
  <si>
    <t>w1</t>
  </si>
  <si>
    <t>w2</t>
  </si>
  <si>
    <t>w3</t>
  </si>
  <si>
    <t>w4</t>
  </si>
  <si>
    <t>w5</t>
  </si>
  <si>
    <t>w6</t>
  </si>
  <si>
    <t>w7</t>
  </si>
  <si>
    <t>Z</t>
  </si>
  <si>
    <t>Estimado (sigmoide)</t>
  </si>
  <si>
    <t>Erro</t>
  </si>
  <si>
    <t>Media</t>
  </si>
  <si>
    <t>Prob acerto</t>
  </si>
  <si>
    <t>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</si>
</sst>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10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/>
    <font>
      <b/>
      <color theme="1"/>
      <name val="Arial"/>
      <scheme val="minor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/>
    </xf>
    <xf borderId="2" fillId="4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7" numFmtId="0" xfId="0" applyBorder="1" applyFont="1"/>
    <xf borderId="1" fillId="5" fontId="6" numFmtId="0" xfId="0" applyAlignment="1" applyBorder="1" applyFill="1" applyFont="1">
      <alignment horizontal="center" readingOrder="0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Dados-style">
      <tableStyleElement dxfId="1" type="headerRow"/>
      <tableStyleElement dxfId="2" type="firstRowStripe"/>
      <tableStyleElement dxfId="3" type="secondRowStripe"/>
    </tableStyle>
    <tableStyle count="3" pivot="0" name="Dados-style 2">
      <tableStyleElement dxfId="1" type="headerRow"/>
      <tableStyleElement dxfId="2" type="firstRowStripe"/>
      <tableStyleElement dxfId="3" type="secondRowStripe"/>
    </tableStyle>
    <tableStyle count="3" pivot="0" name="Dado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6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d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2:I21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do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22:I28" displayName="Table_3" name="Table_3" id="3">
  <tableColumns count="8">
    <tableColumn name="Idade" id="1"/>
    <tableColumn name="e_feminino" id="2"/>
    <tableColumn name="Pressão Sanguínea" id="3"/>
    <tableColumn name="Colesterol" id="4"/>
    <tableColumn name="Batimentos Cardíacos" id="5"/>
    <tableColumn name="Nível de Açúcar no Sangue" id="6"/>
    <tableColumn name="Histórico Familiar" id="7"/>
    <tableColumn name="Ataque Cardíaco" id="8"/>
  </tableColumns>
  <tableStyleInfo name="Dad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63"/>
    <col customWidth="1" min="5" max="5" width="15.25"/>
    <col customWidth="1" min="6" max="6" width="26.38"/>
    <col customWidth="1" min="7" max="7" width="31.13"/>
    <col customWidth="1" min="8" max="8" width="22.38"/>
    <col customWidth="1" min="9" max="9" width="21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/>
      <c r="B2" s="3">
        <v>45.0</v>
      </c>
      <c r="C2" s="4" t="s">
        <v>8</v>
      </c>
      <c r="D2" s="4">
        <v>130.0</v>
      </c>
      <c r="E2" s="4">
        <v>200.0</v>
      </c>
      <c r="F2" s="4">
        <v>80.0</v>
      </c>
      <c r="G2" s="4">
        <v>100.0</v>
      </c>
      <c r="H2" s="4" t="s">
        <v>9</v>
      </c>
      <c r="I2" s="5" t="s">
        <v>9</v>
      </c>
    </row>
    <row r="3">
      <c r="A3" s="2"/>
      <c r="B3" s="3">
        <v>55.0</v>
      </c>
      <c r="C3" s="4" t="s">
        <v>10</v>
      </c>
      <c r="D3" s="4">
        <v>145.0</v>
      </c>
      <c r="E3" s="4">
        <v>240.0</v>
      </c>
      <c r="F3" s="4">
        <v>70.0</v>
      </c>
      <c r="G3" s="4">
        <v>150.0</v>
      </c>
      <c r="H3" s="4" t="s">
        <v>11</v>
      </c>
      <c r="I3" s="5" t="s">
        <v>9</v>
      </c>
    </row>
    <row r="4">
      <c r="A4" s="2"/>
      <c r="B4" s="3">
        <v>60.0</v>
      </c>
      <c r="C4" s="4" t="s">
        <v>8</v>
      </c>
      <c r="D4" s="4">
        <v>120.0</v>
      </c>
      <c r="E4" s="4">
        <v>180.0</v>
      </c>
      <c r="F4" s="4">
        <v>90.0</v>
      </c>
      <c r="G4" s="4">
        <v>90.0</v>
      </c>
      <c r="H4" s="4" t="s">
        <v>9</v>
      </c>
      <c r="I4" s="5" t="s">
        <v>11</v>
      </c>
    </row>
    <row r="5">
      <c r="A5" s="2"/>
      <c r="B5" s="3">
        <v>50.0</v>
      </c>
      <c r="C5" s="4" t="s">
        <v>8</v>
      </c>
      <c r="D5" s="4">
        <v>135.0</v>
      </c>
      <c r="E5" s="4">
        <v>220.0</v>
      </c>
      <c r="F5" s="4">
        <v>75.0</v>
      </c>
      <c r="G5" s="4">
        <v>160.0</v>
      </c>
      <c r="H5" s="4" t="s">
        <v>9</v>
      </c>
      <c r="I5" s="5" t="s">
        <v>9</v>
      </c>
    </row>
    <row r="6">
      <c r="A6" s="2"/>
      <c r="B6" s="3">
        <v>40.0</v>
      </c>
      <c r="C6" s="4" t="s">
        <v>10</v>
      </c>
      <c r="D6" s="4">
        <v>125.0</v>
      </c>
      <c r="E6" s="4">
        <v>190.0</v>
      </c>
      <c r="F6" s="4">
        <v>85.0</v>
      </c>
      <c r="G6" s="4">
        <v>95.0</v>
      </c>
      <c r="H6" s="4" t="s">
        <v>11</v>
      </c>
      <c r="I6" s="5" t="s">
        <v>11</v>
      </c>
    </row>
    <row r="11">
      <c r="A11" s="6"/>
      <c r="B11" s="6" t="s">
        <v>12</v>
      </c>
    </row>
    <row r="12">
      <c r="A12" s="1"/>
      <c r="B12" s="1" t="s">
        <v>0</v>
      </c>
      <c r="C12" s="1" t="s">
        <v>13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</row>
    <row r="13">
      <c r="A13" s="2"/>
      <c r="B13" s="3">
        <v>45.0</v>
      </c>
      <c r="C13" s="4">
        <v>0.0</v>
      </c>
      <c r="D13" s="4">
        <v>130.0</v>
      </c>
      <c r="E13" s="4">
        <v>200.0</v>
      </c>
      <c r="F13" s="4">
        <v>80.0</v>
      </c>
      <c r="G13" s="4">
        <v>100.0</v>
      </c>
      <c r="H13" s="4">
        <v>0.0</v>
      </c>
      <c r="I13" s="5">
        <v>1.0</v>
      </c>
    </row>
    <row r="14">
      <c r="A14" s="2"/>
      <c r="B14" s="3">
        <v>55.0</v>
      </c>
      <c r="C14" s="4">
        <v>1.0</v>
      </c>
      <c r="D14" s="4">
        <v>145.0</v>
      </c>
      <c r="E14" s="4">
        <v>240.0</v>
      </c>
      <c r="F14" s="4">
        <v>70.0</v>
      </c>
      <c r="G14" s="4">
        <v>150.0</v>
      </c>
      <c r="H14" s="4">
        <v>0.0</v>
      </c>
      <c r="I14" s="5">
        <v>1.0</v>
      </c>
    </row>
    <row r="15">
      <c r="A15" s="2"/>
      <c r="B15" s="3">
        <v>60.0</v>
      </c>
      <c r="C15" s="4">
        <v>0.0</v>
      </c>
      <c r="D15" s="4">
        <v>120.0</v>
      </c>
      <c r="E15" s="4">
        <v>180.0</v>
      </c>
      <c r="F15" s="4">
        <v>90.0</v>
      </c>
      <c r="G15" s="4">
        <v>90.0</v>
      </c>
      <c r="H15" s="4">
        <v>1.0</v>
      </c>
      <c r="I15" s="5">
        <v>0.0</v>
      </c>
    </row>
    <row r="16">
      <c r="A16" s="2"/>
      <c r="B16" s="3">
        <v>50.0</v>
      </c>
      <c r="C16" s="4">
        <v>0.0</v>
      </c>
      <c r="D16" s="4">
        <v>135.0</v>
      </c>
      <c r="E16" s="4">
        <v>220.0</v>
      </c>
      <c r="F16" s="4">
        <v>75.0</v>
      </c>
      <c r="G16" s="4">
        <v>160.0</v>
      </c>
      <c r="H16" s="4">
        <v>1.0</v>
      </c>
      <c r="I16" s="5">
        <v>1.0</v>
      </c>
    </row>
    <row r="17">
      <c r="A17" s="2"/>
      <c r="B17" s="3">
        <v>40.0</v>
      </c>
      <c r="C17" s="4">
        <v>1.0</v>
      </c>
      <c r="D17" s="4">
        <v>125.0</v>
      </c>
      <c r="E17" s="4">
        <v>190.0</v>
      </c>
      <c r="F17" s="4">
        <v>85.0</v>
      </c>
      <c r="G17" s="4">
        <v>95.0</v>
      </c>
      <c r="H17" s="4">
        <v>0.0</v>
      </c>
      <c r="I17" s="5">
        <v>0.0</v>
      </c>
    </row>
    <row r="18">
      <c r="A18" s="7" t="s">
        <v>14</v>
      </c>
      <c r="B18" s="8">
        <f t="shared" ref="B18:I18" si="1">AVERAGE(B13:B17)</f>
        <v>50</v>
      </c>
      <c r="C18" s="8">
        <f t="shared" si="1"/>
        <v>0.4</v>
      </c>
      <c r="D18" s="8">
        <f t="shared" si="1"/>
        <v>131</v>
      </c>
      <c r="E18" s="8">
        <f t="shared" si="1"/>
        <v>206</v>
      </c>
      <c r="F18" s="8">
        <f t="shared" si="1"/>
        <v>80</v>
      </c>
      <c r="G18" s="8">
        <f t="shared" si="1"/>
        <v>119</v>
      </c>
      <c r="H18" s="8">
        <f t="shared" si="1"/>
        <v>0.4</v>
      </c>
      <c r="I18" s="8">
        <f t="shared" si="1"/>
        <v>0.6</v>
      </c>
    </row>
    <row r="19">
      <c r="A19" s="7" t="s">
        <v>15</v>
      </c>
      <c r="B19" s="8">
        <f t="shared" ref="B19:I19" si="2">STDEV(B13:B17)</f>
        <v>7.90569415</v>
      </c>
      <c r="C19" s="8">
        <f t="shared" si="2"/>
        <v>0.5477225575</v>
      </c>
      <c r="D19" s="8">
        <f t="shared" si="2"/>
        <v>9.617692031</v>
      </c>
      <c r="E19" s="8">
        <f t="shared" si="2"/>
        <v>24.08318916</v>
      </c>
      <c r="F19" s="8">
        <f t="shared" si="2"/>
        <v>7.90569415</v>
      </c>
      <c r="G19" s="8">
        <f t="shared" si="2"/>
        <v>33.24154028</v>
      </c>
      <c r="H19" s="8">
        <f t="shared" si="2"/>
        <v>0.5477225575</v>
      </c>
      <c r="I19" s="8">
        <f t="shared" si="2"/>
        <v>0.5477225575</v>
      </c>
    </row>
    <row r="20">
      <c r="A20" s="8"/>
      <c r="C20" s="8"/>
      <c r="D20" s="8"/>
      <c r="E20" s="8"/>
      <c r="F20" s="8"/>
      <c r="G20" s="8"/>
      <c r="H20" s="8"/>
      <c r="I20" s="8"/>
    </row>
    <row r="21">
      <c r="A21" s="8"/>
      <c r="B21" s="9"/>
      <c r="C21" s="8"/>
      <c r="D21" s="8"/>
      <c r="E21" s="8"/>
      <c r="F21" s="8"/>
      <c r="G21" s="8"/>
      <c r="H21" s="8"/>
      <c r="I21" s="8"/>
    </row>
    <row r="22">
      <c r="B22" s="1" t="s">
        <v>0</v>
      </c>
      <c r="C22" s="1" t="s">
        <v>13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</row>
    <row r="23">
      <c r="B23" s="10">
        <f t="shared" ref="B23:I23" si="3">(B13-B$18)/B$19</f>
        <v>-0.632455532</v>
      </c>
      <c r="C23" s="10">
        <f t="shared" si="3"/>
        <v>-0.7302967433</v>
      </c>
      <c r="D23" s="10">
        <f t="shared" si="3"/>
        <v>-0.103975049</v>
      </c>
      <c r="E23" s="10">
        <f t="shared" si="3"/>
        <v>-0.2491364396</v>
      </c>
      <c r="F23" s="10">
        <f t="shared" si="3"/>
        <v>0</v>
      </c>
      <c r="G23" s="10">
        <f t="shared" si="3"/>
        <v>-0.5715739957</v>
      </c>
      <c r="H23" s="10">
        <f t="shared" si="3"/>
        <v>-0.7302967433</v>
      </c>
      <c r="I23" s="10">
        <f t="shared" si="3"/>
        <v>0.7302967433</v>
      </c>
    </row>
    <row r="24">
      <c r="B24" s="10">
        <f t="shared" ref="B24:I24" si="4">(B14-B$18)/B$19</f>
        <v>0.632455532</v>
      </c>
      <c r="C24" s="10">
        <f t="shared" si="4"/>
        <v>1.095445115</v>
      </c>
      <c r="D24" s="10">
        <f t="shared" si="4"/>
        <v>1.455650686</v>
      </c>
      <c r="E24" s="10">
        <f t="shared" si="4"/>
        <v>1.411773158</v>
      </c>
      <c r="F24" s="10">
        <f t="shared" si="4"/>
        <v>-1.264911064</v>
      </c>
      <c r="G24" s="10">
        <f t="shared" si="4"/>
        <v>0.9325680983</v>
      </c>
      <c r="H24" s="10">
        <f t="shared" si="4"/>
        <v>-0.7302967433</v>
      </c>
      <c r="I24" s="10">
        <f t="shared" si="4"/>
        <v>0.7302967433</v>
      </c>
    </row>
    <row r="25">
      <c r="B25" s="10">
        <f t="shared" ref="B25:I25" si="5">(B15-B$18)/B$19</f>
        <v>1.264911064</v>
      </c>
      <c r="C25" s="10">
        <f t="shared" si="5"/>
        <v>-0.7302967433</v>
      </c>
      <c r="D25" s="10">
        <f t="shared" si="5"/>
        <v>-1.143725539</v>
      </c>
      <c r="E25" s="10">
        <f t="shared" si="5"/>
        <v>-1.079591238</v>
      </c>
      <c r="F25" s="10">
        <f t="shared" si="5"/>
        <v>1.264911064</v>
      </c>
      <c r="G25" s="10">
        <f t="shared" si="5"/>
        <v>-0.8724024145</v>
      </c>
      <c r="H25" s="10">
        <f t="shared" si="5"/>
        <v>1.095445115</v>
      </c>
      <c r="I25" s="10">
        <f t="shared" si="5"/>
        <v>-1.095445115</v>
      </c>
    </row>
    <row r="26">
      <c r="B26" s="10">
        <f t="shared" ref="B26:I26" si="6">(B16-B$18)/B$19</f>
        <v>0</v>
      </c>
      <c r="C26" s="10">
        <f t="shared" si="6"/>
        <v>-0.7302967433</v>
      </c>
      <c r="D26" s="10">
        <f t="shared" si="6"/>
        <v>0.4159001959</v>
      </c>
      <c r="E26" s="10">
        <f t="shared" si="6"/>
        <v>0.581318359</v>
      </c>
      <c r="F26" s="10">
        <f t="shared" si="6"/>
        <v>-0.632455532</v>
      </c>
      <c r="G26" s="10">
        <f t="shared" si="6"/>
        <v>1.233396517</v>
      </c>
      <c r="H26" s="10">
        <f t="shared" si="6"/>
        <v>1.095445115</v>
      </c>
      <c r="I26" s="10">
        <f t="shared" si="6"/>
        <v>0.7302967433</v>
      </c>
    </row>
    <row r="27">
      <c r="B27" s="10">
        <f t="shared" ref="B27:I27" si="7">(B17-B$18)/B$19</f>
        <v>-1.264911064</v>
      </c>
      <c r="C27" s="10">
        <f t="shared" si="7"/>
        <v>1.095445115</v>
      </c>
      <c r="D27" s="10">
        <f t="shared" si="7"/>
        <v>-0.6238502939</v>
      </c>
      <c r="E27" s="10">
        <f t="shared" si="7"/>
        <v>-0.6643638388</v>
      </c>
      <c r="F27" s="10">
        <f t="shared" si="7"/>
        <v>0.632455532</v>
      </c>
      <c r="G27" s="10">
        <f t="shared" si="7"/>
        <v>-0.7219882051</v>
      </c>
      <c r="H27" s="10">
        <f t="shared" si="7"/>
        <v>-0.7302967433</v>
      </c>
      <c r="I27" s="10">
        <f t="shared" si="7"/>
        <v>-1.095445115</v>
      </c>
    </row>
    <row r="28">
      <c r="B28" s="10"/>
      <c r="C28" s="10"/>
      <c r="D28" s="10"/>
      <c r="E28" s="10"/>
      <c r="F28" s="10"/>
      <c r="G28" s="10"/>
      <c r="H28" s="10"/>
      <c r="I28" s="10"/>
    </row>
  </sheetData>
  <mergeCells count="1">
    <mergeCell ref="B11:I11"/>
  </mergeCell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14.75"/>
    <col customWidth="1" min="5" max="5" width="16.25"/>
    <col customWidth="1" min="10" max="10" width="20.38"/>
  </cols>
  <sheetData>
    <row r="1" ht="67.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16</v>
      </c>
      <c r="I1" s="13" t="s">
        <v>7</v>
      </c>
    </row>
    <row r="2">
      <c r="A2" s="14" t="s">
        <v>17</v>
      </c>
      <c r="B2" s="15" t="s">
        <v>18</v>
      </c>
      <c r="C2" s="15" t="s">
        <v>19</v>
      </c>
      <c r="D2" s="15" t="s">
        <v>20</v>
      </c>
      <c r="E2" s="14" t="s">
        <v>21</v>
      </c>
      <c r="F2" s="15" t="s">
        <v>22</v>
      </c>
      <c r="G2" s="15" t="s">
        <v>23</v>
      </c>
      <c r="H2" s="15" t="s">
        <v>24</v>
      </c>
      <c r="I2" s="16" t="s">
        <v>25</v>
      </c>
    </row>
    <row r="3">
      <c r="A3" s="17">
        <v>0.25</v>
      </c>
      <c r="B3" s="4">
        <v>1.0</v>
      </c>
      <c r="C3" s="18">
        <v>0.4</v>
      </c>
      <c r="D3" s="18">
        <v>0.3333333333333333</v>
      </c>
      <c r="E3" s="18">
        <v>0.5</v>
      </c>
      <c r="F3" s="18">
        <v>0.14285714285714285</v>
      </c>
      <c r="G3" s="18">
        <v>1.0</v>
      </c>
      <c r="H3" s="18">
        <v>1.0</v>
      </c>
      <c r="I3" s="19">
        <v>1.0</v>
      </c>
    </row>
    <row r="4">
      <c r="A4" s="17">
        <v>0.75</v>
      </c>
      <c r="B4" s="4">
        <v>0.0</v>
      </c>
      <c r="C4" s="18">
        <v>1.0</v>
      </c>
      <c r="D4" s="18">
        <v>1.0</v>
      </c>
      <c r="E4" s="18">
        <v>0.0</v>
      </c>
      <c r="F4" s="18">
        <v>0.8571428571428571</v>
      </c>
      <c r="G4" s="18">
        <v>0.0</v>
      </c>
      <c r="H4" s="18">
        <v>1.0</v>
      </c>
      <c r="I4" s="19">
        <v>1.0</v>
      </c>
    </row>
    <row r="5">
      <c r="A5" s="17">
        <v>1.0</v>
      </c>
      <c r="B5" s="4">
        <v>1.0</v>
      </c>
      <c r="C5" s="18">
        <v>0.0</v>
      </c>
      <c r="D5" s="18">
        <v>0.0</v>
      </c>
      <c r="E5" s="18">
        <v>1.0</v>
      </c>
      <c r="F5" s="18">
        <v>0.0</v>
      </c>
      <c r="G5" s="18">
        <v>1.0</v>
      </c>
      <c r="H5" s="4">
        <v>1.0</v>
      </c>
      <c r="I5" s="19">
        <v>0.0</v>
      </c>
    </row>
    <row r="6">
      <c r="A6" s="17">
        <v>0.5</v>
      </c>
      <c r="B6" s="4">
        <v>1.0</v>
      </c>
      <c r="C6" s="18">
        <v>0.6</v>
      </c>
      <c r="D6" s="18">
        <v>0.6666666666666666</v>
      </c>
      <c r="E6" s="18">
        <v>0.25</v>
      </c>
      <c r="F6" s="18">
        <v>1.0</v>
      </c>
      <c r="G6" s="18">
        <v>1.0</v>
      </c>
      <c r="H6" s="18">
        <v>1.0</v>
      </c>
      <c r="I6" s="19">
        <v>1.0</v>
      </c>
      <c r="J6" s="20"/>
    </row>
    <row r="7">
      <c r="A7" s="17">
        <v>0.0</v>
      </c>
      <c r="B7" s="4">
        <v>0.0</v>
      </c>
      <c r="C7" s="18">
        <v>0.2</v>
      </c>
      <c r="D7" s="18">
        <v>0.16666666666666666</v>
      </c>
      <c r="E7" s="18">
        <v>0.75</v>
      </c>
      <c r="F7" s="18">
        <v>0.07142857142857142</v>
      </c>
      <c r="G7" s="18">
        <v>0.0</v>
      </c>
      <c r="H7" s="4">
        <v>1.0</v>
      </c>
      <c r="I7" s="19">
        <v>0.0</v>
      </c>
    </row>
    <row r="8">
      <c r="A8" s="21" t="s">
        <v>26</v>
      </c>
      <c r="B8" s="21">
        <v>1.0</v>
      </c>
    </row>
    <row r="9">
      <c r="A9" s="22" t="s">
        <v>27</v>
      </c>
      <c r="B9" s="23"/>
      <c r="C9" s="23"/>
      <c r="D9" s="23"/>
      <c r="E9" s="23"/>
      <c r="F9" s="23"/>
      <c r="G9" s="23"/>
      <c r="H9" s="23"/>
    </row>
    <row r="10">
      <c r="A10" s="24" t="s">
        <v>0</v>
      </c>
      <c r="B10" s="25" t="s">
        <v>1</v>
      </c>
      <c r="C10" s="25" t="s">
        <v>2</v>
      </c>
      <c r="D10" s="25" t="s">
        <v>3</v>
      </c>
      <c r="E10" s="25" t="s">
        <v>4</v>
      </c>
      <c r="F10" s="25" t="s">
        <v>5</v>
      </c>
      <c r="G10" s="25" t="s">
        <v>6</v>
      </c>
      <c r="H10" s="25" t="s">
        <v>16</v>
      </c>
    </row>
    <row r="11">
      <c r="A11" s="26" t="s">
        <v>28</v>
      </c>
      <c r="B11" s="26" t="s">
        <v>29</v>
      </c>
      <c r="C11" s="26" t="s">
        <v>30</v>
      </c>
      <c r="D11" s="26" t="s">
        <v>31</v>
      </c>
      <c r="E11" s="26" t="s">
        <v>32</v>
      </c>
      <c r="F11" s="26" t="s">
        <v>33</v>
      </c>
      <c r="G11" s="26" t="s">
        <v>34</v>
      </c>
      <c r="H11" s="26" t="s">
        <v>24</v>
      </c>
      <c r="I11" s="21"/>
      <c r="J11" s="27"/>
      <c r="M11" s="28"/>
      <c r="N11" s="29"/>
      <c r="O11" s="29"/>
      <c r="P11" s="29"/>
      <c r="Q11" s="29"/>
      <c r="R11" s="29"/>
      <c r="S11" s="29"/>
      <c r="T11" s="29"/>
      <c r="U11" s="29"/>
    </row>
    <row r="12" ht="15.75" customHeight="1">
      <c r="A12" s="21">
        <v>0.3367</v>
      </c>
      <c r="B12" s="21">
        <v>0.1288</v>
      </c>
      <c r="C12" s="21">
        <v>0.2345</v>
      </c>
      <c r="D12" s="21">
        <v>0.2303</v>
      </c>
      <c r="E12" s="21">
        <v>-1.1229</v>
      </c>
      <c r="F12" s="21">
        <v>-0.1863</v>
      </c>
      <c r="G12" s="21">
        <v>2.2082</v>
      </c>
      <c r="H12" s="21">
        <v>-0.638</v>
      </c>
      <c r="I12" s="21" t="s">
        <v>35</v>
      </c>
      <c r="J12" s="30" t="s">
        <v>36</v>
      </c>
      <c r="M12" s="28" t="s">
        <v>37</v>
      </c>
      <c r="N12" s="31" t="s">
        <v>0</v>
      </c>
      <c r="O12" s="32" t="s">
        <v>1</v>
      </c>
      <c r="P12" s="32" t="s">
        <v>2</v>
      </c>
      <c r="Q12" s="32" t="s">
        <v>3</v>
      </c>
      <c r="R12" s="32" t="s">
        <v>4</v>
      </c>
      <c r="S12" s="32" t="s">
        <v>5</v>
      </c>
      <c r="T12" s="32" t="s">
        <v>6</v>
      </c>
      <c r="U12" s="32" t="s">
        <v>16</v>
      </c>
    </row>
    <row r="13">
      <c r="A13" s="33">
        <f t="shared" ref="A13:H13" si="1">A$12*A3</f>
        <v>0.084175</v>
      </c>
      <c r="B13" s="33">
        <f t="shared" si="1"/>
        <v>0.1288</v>
      </c>
      <c r="C13" s="33">
        <f t="shared" si="1"/>
        <v>0.0938</v>
      </c>
      <c r="D13" s="33">
        <f t="shared" si="1"/>
        <v>0.07676666667</v>
      </c>
      <c r="E13" s="33">
        <f t="shared" si="1"/>
        <v>-0.56145</v>
      </c>
      <c r="F13" s="33">
        <f t="shared" si="1"/>
        <v>-0.02661428571</v>
      </c>
      <c r="G13" s="33">
        <f t="shared" si="1"/>
        <v>2.2082</v>
      </c>
      <c r="H13" s="33">
        <f t="shared" si="1"/>
        <v>-0.638</v>
      </c>
      <c r="I13" s="33">
        <f t="shared" ref="I13:I17" si="3">SUM(A13:H13)</f>
        <v>1.365677381</v>
      </c>
      <c r="J13" s="34">
        <f t="shared" ref="J13:J17" si="4">1/(1 + EXP(-I13))</f>
        <v>0.7966808716</v>
      </c>
      <c r="M13" s="35">
        <f t="array" ref="M13:M17">J13:J17-I$3:I$7</f>
        <v>-0.2033191284</v>
      </c>
      <c r="N13" s="33">
        <f t="array" ref="N13:N17">$M13:$M17*A$3:A$7</f>
        <v>-0.05082978209</v>
      </c>
      <c r="O13" s="33">
        <f t="array" ref="O13:O17">$M13:$M17*B$3:B$7</f>
        <v>-0.2033191284</v>
      </c>
      <c r="P13" s="33">
        <f t="array" ref="P13:P17">$M13:$M17*C$3:C$7</f>
        <v>-0.08132765135</v>
      </c>
      <c r="Q13" s="33">
        <f t="array" ref="Q13:Q17">$M13:$M17*D$3:D$7</f>
        <v>-0.06777304279</v>
      </c>
      <c r="R13" s="33">
        <f t="array" ref="R13:R17">$M13:$M17*E$3:E$7</f>
        <v>-0.1016595642</v>
      </c>
      <c r="S13" s="33">
        <f t="array" ref="S13:S17">$M13:$M17*F$3:F$7</f>
        <v>-0.02904558977</v>
      </c>
      <c r="T13" s="33">
        <f t="array" ref="T13:T17">$M13:$M17*G$3:G$7</f>
        <v>-0.2033191284</v>
      </c>
      <c r="U13" s="33">
        <f t="array" ref="U13:U17">$M13:$M17*H$3:H$7</f>
        <v>-0.2033191284</v>
      </c>
    </row>
    <row r="14">
      <c r="A14" s="33">
        <f t="shared" ref="A14:H14" si="2">A$12*A4</f>
        <v>0.252525</v>
      </c>
      <c r="B14" s="33">
        <f t="shared" si="2"/>
        <v>0</v>
      </c>
      <c r="C14" s="33">
        <f t="shared" si="2"/>
        <v>0.2345</v>
      </c>
      <c r="D14" s="33">
        <f t="shared" si="2"/>
        <v>0.2303</v>
      </c>
      <c r="E14" s="33">
        <f t="shared" si="2"/>
        <v>0</v>
      </c>
      <c r="F14" s="33">
        <f t="shared" si="2"/>
        <v>-0.1596857143</v>
      </c>
      <c r="G14" s="33">
        <f t="shared" si="2"/>
        <v>0</v>
      </c>
      <c r="H14" s="33">
        <f t="shared" si="2"/>
        <v>-0.638</v>
      </c>
      <c r="I14" s="33">
        <f t="shared" si="3"/>
        <v>-0.08036071429</v>
      </c>
      <c r="J14" s="33">
        <f t="shared" si="4"/>
        <v>0.4799206261</v>
      </c>
      <c r="M14" s="36">
        <v>-0.5200793739449019</v>
      </c>
      <c r="N14" s="33">
        <v>-0.3900595304586764</v>
      </c>
      <c r="O14" s="33">
        <v>0.0</v>
      </c>
      <c r="P14" s="33">
        <v>-0.5200793739449019</v>
      </c>
      <c r="Q14" s="33">
        <v>-0.5200793739449019</v>
      </c>
      <c r="R14" s="33">
        <v>0.0</v>
      </c>
      <c r="S14" s="33">
        <v>-0.4457823205242016</v>
      </c>
      <c r="T14" s="33">
        <v>0.0</v>
      </c>
      <c r="U14" s="33">
        <v>-0.5200793739449019</v>
      </c>
    </row>
    <row r="15">
      <c r="A15" s="33">
        <f t="shared" ref="A15:H15" si="5">A$12*A5</f>
        <v>0.3367</v>
      </c>
      <c r="B15" s="33">
        <f t="shared" si="5"/>
        <v>0.1288</v>
      </c>
      <c r="C15" s="33">
        <f t="shared" si="5"/>
        <v>0</v>
      </c>
      <c r="D15" s="33">
        <f t="shared" si="5"/>
        <v>0</v>
      </c>
      <c r="E15" s="33">
        <f t="shared" si="5"/>
        <v>-1.1229</v>
      </c>
      <c r="F15" s="33">
        <f t="shared" si="5"/>
        <v>0</v>
      </c>
      <c r="G15" s="33">
        <f t="shared" si="5"/>
        <v>2.2082</v>
      </c>
      <c r="H15" s="33">
        <f t="shared" si="5"/>
        <v>-0.638</v>
      </c>
      <c r="I15" s="33">
        <f t="shared" si="3"/>
        <v>0.9128</v>
      </c>
      <c r="J15" s="33">
        <f t="shared" si="4"/>
        <v>0.7135727875</v>
      </c>
      <c r="M15" s="36">
        <v>0.7135727874703931</v>
      </c>
      <c r="N15" s="33">
        <v>0.7135727874703931</v>
      </c>
      <c r="O15" s="33">
        <v>0.7135727874703931</v>
      </c>
      <c r="P15" s="33">
        <v>0.0</v>
      </c>
      <c r="Q15" s="33">
        <v>0.0</v>
      </c>
      <c r="R15" s="33">
        <v>0.7135727874703931</v>
      </c>
      <c r="S15" s="33">
        <v>0.0</v>
      </c>
      <c r="T15" s="33">
        <v>0.7135727874703931</v>
      </c>
      <c r="U15" s="33">
        <v>0.7135727874703931</v>
      </c>
    </row>
    <row r="16">
      <c r="A16" s="33">
        <f t="shared" ref="A16:H16" si="6">A$12*A6</f>
        <v>0.16835</v>
      </c>
      <c r="B16" s="33">
        <f t="shared" si="6"/>
        <v>0.1288</v>
      </c>
      <c r="C16" s="33">
        <f t="shared" si="6"/>
        <v>0.1407</v>
      </c>
      <c r="D16" s="33">
        <f t="shared" si="6"/>
        <v>0.1535333333</v>
      </c>
      <c r="E16" s="33">
        <f t="shared" si="6"/>
        <v>-0.280725</v>
      </c>
      <c r="F16" s="33">
        <f t="shared" si="6"/>
        <v>-0.1863</v>
      </c>
      <c r="G16" s="33">
        <f t="shared" si="6"/>
        <v>2.2082</v>
      </c>
      <c r="H16" s="33">
        <f t="shared" si="6"/>
        <v>-0.638</v>
      </c>
      <c r="I16" s="33">
        <f t="shared" si="3"/>
        <v>1.694558333</v>
      </c>
      <c r="J16" s="33">
        <f t="shared" si="4"/>
        <v>0.8448226849</v>
      </c>
      <c r="M16" s="36">
        <v>-0.1551773151230914</v>
      </c>
      <c r="N16" s="33">
        <v>-0.0775886575615457</v>
      </c>
      <c r="O16" s="33">
        <v>-0.1551773151230914</v>
      </c>
      <c r="P16" s="33">
        <v>-0.09310638907385484</v>
      </c>
      <c r="Q16" s="33">
        <v>-0.10345154341539427</v>
      </c>
      <c r="R16" s="33">
        <v>-0.03879432878077285</v>
      </c>
      <c r="S16" s="33">
        <v>-0.1551773151230914</v>
      </c>
      <c r="T16" s="33">
        <v>-0.1551773151230914</v>
      </c>
      <c r="U16" s="33">
        <v>-0.1551773151230914</v>
      </c>
    </row>
    <row r="17">
      <c r="A17" s="33">
        <f t="shared" ref="A17:H17" si="7">A$12*A7</f>
        <v>0</v>
      </c>
      <c r="B17" s="33">
        <f t="shared" si="7"/>
        <v>0</v>
      </c>
      <c r="C17" s="33">
        <f t="shared" si="7"/>
        <v>0.0469</v>
      </c>
      <c r="D17" s="33">
        <f t="shared" si="7"/>
        <v>0.03838333333</v>
      </c>
      <c r="E17" s="33">
        <f t="shared" si="7"/>
        <v>-0.842175</v>
      </c>
      <c r="F17" s="33">
        <f t="shared" si="7"/>
        <v>-0.01330714286</v>
      </c>
      <c r="G17" s="33">
        <f t="shared" si="7"/>
        <v>0</v>
      </c>
      <c r="H17" s="33">
        <f t="shared" si="7"/>
        <v>-0.638</v>
      </c>
      <c r="I17" s="33">
        <f t="shared" si="3"/>
        <v>-1.40819881</v>
      </c>
      <c r="J17" s="33">
        <f t="shared" si="4"/>
        <v>0.1965183068</v>
      </c>
      <c r="M17" s="37">
        <v>0.19651830683584984</v>
      </c>
      <c r="N17" s="33">
        <v>0.0</v>
      </c>
      <c r="O17" s="33">
        <v>0.0</v>
      </c>
      <c r="P17" s="33">
        <v>0.03930366136716997</v>
      </c>
      <c r="Q17" s="33">
        <v>0.032753051139308306</v>
      </c>
      <c r="R17" s="33">
        <v>0.14738873012688739</v>
      </c>
      <c r="S17" s="33">
        <v>0.014037021916846417</v>
      </c>
      <c r="T17" s="33">
        <v>0.0</v>
      </c>
      <c r="U17" s="33">
        <v>0.19651830683584984</v>
      </c>
    </row>
    <row r="18">
      <c r="L18" s="21" t="s">
        <v>38</v>
      </c>
      <c r="M18" s="33">
        <f t="array" ref="M18">AVERAGE(ABS(M13:M17))</f>
        <v>0.3577333824</v>
      </c>
      <c r="N18" s="33">
        <f t="shared" ref="N18:U18" si="8">AVERAGE(N13:N17)</f>
        <v>0.03901896347</v>
      </c>
      <c r="O18" s="33">
        <f t="shared" si="8"/>
        <v>0.07101526879</v>
      </c>
      <c r="P18" s="33">
        <f t="shared" si="8"/>
        <v>-0.1310419506</v>
      </c>
      <c r="Q18" s="33">
        <f t="shared" si="8"/>
        <v>-0.1317101818</v>
      </c>
      <c r="R18" s="33">
        <f t="shared" si="8"/>
        <v>0.1441015249</v>
      </c>
      <c r="S18" s="33">
        <f t="shared" si="8"/>
        <v>-0.1231936407</v>
      </c>
      <c r="T18" s="33">
        <f t="shared" si="8"/>
        <v>0.07101526879</v>
      </c>
      <c r="U18" s="33">
        <f t="shared" si="8"/>
        <v>0.006303055372</v>
      </c>
    </row>
    <row r="19">
      <c r="A19" s="21">
        <f>A12-N18*B8</f>
        <v>0.2976810365</v>
      </c>
      <c r="B19" s="21">
        <f t="shared" ref="B19:H19" si="9">B12-O18*$B$8</f>
        <v>0.05778473121</v>
      </c>
      <c r="C19" s="21">
        <f t="shared" si="9"/>
        <v>0.3655419506</v>
      </c>
      <c r="D19" s="21">
        <f t="shared" si="9"/>
        <v>0.3620101818</v>
      </c>
      <c r="E19" s="21">
        <f t="shared" si="9"/>
        <v>-1.267001525</v>
      </c>
      <c r="F19" s="21">
        <f t="shared" si="9"/>
        <v>-0.0631063593</v>
      </c>
      <c r="G19" s="21">
        <f t="shared" si="9"/>
        <v>2.137184731</v>
      </c>
      <c r="H19" s="21">
        <f t="shared" si="9"/>
        <v>-0.6443030554</v>
      </c>
      <c r="I19" s="21" t="s">
        <v>35</v>
      </c>
      <c r="J19" s="21" t="s">
        <v>36</v>
      </c>
      <c r="M19" s="28" t="s">
        <v>37</v>
      </c>
      <c r="N19" s="31" t="s">
        <v>0</v>
      </c>
      <c r="O19" s="32" t="s">
        <v>1</v>
      </c>
      <c r="P19" s="32" t="s">
        <v>2</v>
      </c>
      <c r="Q19" s="32" t="s">
        <v>3</v>
      </c>
      <c r="R19" s="32" t="s">
        <v>4</v>
      </c>
      <c r="S19" s="32" t="s">
        <v>5</v>
      </c>
      <c r="T19" s="32" t="s">
        <v>6</v>
      </c>
      <c r="U19" s="32" t="s">
        <v>16</v>
      </c>
    </row>
    <row r="20">
      <c r="A20" s="33">
        <f t="array" ref="A20:A24">A$3:A$7*A19</f>
        <v>0.07442025913</v>
      </c>
      <c r="B20" s="33">
        <f t="array" ref="B20:B24">B$3:B$7*B19</f>
        <v>0.05778473121</v>
      </c>
      <c r="C20" s="33">
        <f t="array" ref="C20:C24">C$3:C$7*C19</f>
        <v>0.1462167802</v>
      </c>
      <c r="D20" s="33">
        <f t="array" ref="D20:D24">D$3:D$7*D19</f>
        <v>0.1206700606</v>
      </c>
      <c r="E20" s="33">
        <f t="array" ref="E20:E24">E$3:E$7*E19</f>
        <v>-0.6335007625</v>
      </c>
      <c r="F20" s="33">
        <f t="array" ref="F20:F24">F$3:F$7*F19</f>
        <v>-0.009015194186</v>
      </c>
      <c r="G20" s="33">
        <f t="array" ref="G20:G24">G$3:G$7*G19</f>
        <v>2.137184731</v>
      </c>
      <c r="H20" s="33">
        <f t="array" ref="H20:H24">H$3:H$7*H19</f>
        <v>-0.6443030554</v>
      </c>
      <c r="I20" s="33">
        <f t="shared" ref="I20:I24" si="10">SUM(A20:H20)</f>
        <v>1.24945755</v>
      </c>
      <c r="J20" s="33">
        <f t="shared" ref="J20:J24" si="11">1/(1 + EXP(-I20))</f>
        <v>0.7772059464</v>
      </c>
      <c r="M20" s="33">
        <f t="array" ref="M20:M24">J20:J24-I$3:I$7</f>
        <v>-0.2227940536</v>
      </c>
      <c r="N20" s="33">
        <f t="array" ref="N20:N24">$M20:$M24*A$3:A$7</f>
        <v>-0.05569851339</v>
      </c>
      <c r="O20" s="33">
        <f t="array" ref="O20:O24">$M20:$M24*B$3:B$7</f>
        <v>-0.2227940536</v>
      </c>
      <c r="P20" s="33">
        <f t="array" ref="P20:P24">$M20:$M24*C$3:C$7</f>
        <v>-0.08911762143</v>
      </c>
      <c r="Q20" s="33">
        <f t="array" ref="Q20:Q24">$M20:$M24*D$3:D$7</f>
        <v>-0.07426468453</v>
      </c>
      <c r="R20" s="33">
        <f t="array" ref="R20:R24">$M20:$M24*E$3:E$7</f>
        <v>-0.1113970268</v>
      </c>
      <c r="S20" s="33">
        <f t="array" ref="S20:S24">$M20:$M24*F$3:F$7</f>
        <v>-0.03182772194</v>
      </c>
      <c r="T20" s="33">
        <f t="array" ref="T20:T24">$M20:$M24*G$3:G$7</f>
        <v>-0.2227940536</v>
      </c>
      <c r="U20" s="33">
        <f t="array" ref="U20:U24">$M20:$M24*H$3:H$7</f>
        <v>-0.2227940536</v>
      </c>
    </row>
    <row r="21">
      <c r="A21" s="33">
        <v>0.22326077739671704</v>
      </c>
      <c r="B21" s="33">
        <v>0.0</v>
      </c>
      <c r="C21" s="33">
        <v>0.3655419506007017</v>
      </c>
      <c r="D21" s="33">
        <v>0.36201018180285127</v>
      </c>
      <c r="E21" s="33">
        <v>0.0</v>
      </c>
      <c r="F21" s="33">
        <v>-0.05409116511445882</v>
      </c>
      <c r="G21" s="33">
        <v>0.0</v>
      </c>
      <c r="H21" s="33">
        <v>-0.644303055371689</v>
      </c>
      <c r="I21" s="33">
        <f t="shared" si="10"/>
        <v>0.2524186893</v>
      </c>
      <c r="J21" s="33">
        <f t="shared" si="11"/>
        <v>0.562771733</v>
      </c>
      <c r="M21" s="33">
        <v>-0.4372282670429767</v>
      </c>
      <c r="N21" s="33">
        <v>-0.3279212002822325</v>
      </c>
      <c r="O21" s="33">
        <v>0.0</v>
      </c>
      <c r="P21" s="33">
        <v>-0.4372282670429767</v>
      </c>
      <c r="Q21" s="33">
        <v>-0.4372282670429767</v>
      </c>
      <c r="R21" s="33">
        <v>0.0</v>
      </c>
      <c r="S21" s="33">
        <v>-0.3747670860368371</v>
      </c>
      <c r="T21" s="33">
        <v>0.0</v>
      </c>
      <c r="U21" s="33">
        <v>-0.4372282670429767</v>
      </c>
    </row>
    <row r="22">
      <c r="A22" s="33">
        <v>0.29768103652895606</v>
      </c>
      <c r="B22" s="33">
        <v>0.05778473120650063</v>
      </c>
      <c r="C22" s="33">
        <v>0.0</v>
      </c>
      <c r="D22" s="33">
        <v>0.0</v>
      </c>
      <c r="E22" s="33">
        <v>-1.267001524925321</v>
      </c>
      <c r="F22" s="33">
        <v>0.0</v>
      </c>
      <c r="G22" s="33">
        <v>2.1371847312065007</v>
      </c>
      <c r="H22" s="33">
        <v>-0.644303055371689</v>
      </c>
      <c r="I22" s="33">
        <f t="shared" si="10"/>
        <v>0.5813459186</v>
      </c>
      <c r="J22" s="33">
        <f t="shared" si="11"/>
        <v>0.6413770434</v>
      </c>
      <c r="M22" s="33">
        <v>0.6413770433612931</v>
      </c>
      <c r="N22" s="33">
        <v>0.6413770433612931</v>
      </c>
      <c r="O22" s="33">
        <v>0.6413770433612931</v>
      </c>
      <c r="P22" s="33">
        <v>0.0</v>
      </c>
      <c r="Q22" s="33">
        <v>0.0</v>
      </c>
      <c r="R22" s="33">
        <v>0.6413770433612931</v>
      </c>
      <c r="S22" s="33">
        <v>0.0</v>
      </c>
      <c r="T22" s="33">
        <v>0.6413770433612931</v>
      </c>
      <c r="U22" s="33">
        <v>0.6413770433612931</v>
      </c>
    </row>
    <row r="23">
      <c r="A23" s="33">
        <v>0.14884051826447803</v>
      </c>
      <c r="B23" s="33">
        <v>0.05778473120650063</v>
      </c>
      <c r="C23" s="33">
        <v>0.219325170360421</v>
      </c>
      <c r="D23" s="33">
        <v>0.24134012120190085</v>
      </c>
      <c r="E23" s="33">
        <v>-0.31675038123133026</v>
      </c>
      <c r="F23" s="33">
        <v>-0.06310635930020196</v>
      </c>
      <c r="G23" s="33">
        <v>2.1371847312065007</v>
      </c>
      <c r="H23" s="33">
        <v>-0.644303055371689</v>
      </c>
      <c r="I23" s="33">
        <f t="shared" si="10"/>
        <v>1.780315476</v>
      </c>
      <c r="J23" s="33">
        <f t="shared" si="11"/>
        <v>0.8557358165</v>
      </c>
      <c r="M23" s="33">
        <v>-0.144264183525753</v>
      </c>
      <c r="N23" s="33">
        <v>-0.0721320917628765</v>
      </c>
      <c r="O23" s="33">
        <v>-0.144264183525753</v>
      </c>
      <c r="P23" s="33">
        <v>-0.08655851011545179</v>
      </c>
      <c r="Q23" s="33">
        <v>-0.09617612235050199</v>
      </c>
      <c r="R23" s="33">
        <v>-0.03606604588143825</v>
      </c>
      <c r="S23" s="33">
        <v>-0.144264183525753</v>
      </c>
      <c r="T23" s="33">
        <v>-0.144264183525753</v>
      </c>
      <c r="U23" s="33">
        <v>-0.144264183525753</v>
      </c>
    </row>
    <row r="24">
      <c r="A24" s="33">
        <v>0.0</v>
      </c>
      <c r="B24" s="33">
        <v>0.0</v>
      </c>
      <c r="C24" s="33">
        <v>0.07310839012014035</v>
      </c>
      <c r="D24" s="33">
        <v>0.06033503030047521</v>
      </c>
      <c r="E24" s="33">
        <v>-0.9502511436939908</v>
      </c>
      <c r="F24" s="33">
        <v>-0.004507597092871568</v>
      </c>
      <c r="G24" s="33">
        <v>0.0</v>
      </c>
      <c r="H24" s="33">
        <v>-0.644303055371689</v>
      </c>
      <c r="I24" s="33">
        <f t="shared" si="10"/>
        <v>-1.465618376</v>
      </c>
      <c r="J24" s="33">
        <f t="shared" si="11"/>
        <v>0.187609513</v>
      </c>
      <c r="M24" s="33">
        <v>0.18760951298615328</v>
      </c>
      <c r="N24" s="33">
        <v>0.0</v>
      </c>
      <c r="O24" s="33">
        <v>0.0</v>
      </c>
      <c r="P24" s="33">
        <v>0.03752190259723066</v>
      </c>
      <c r="Q24" s="33">
        <v>0.03126825216435888</v>
      </c>
      <c r="R24" s="33">
        <v>0.14070713473961496</v>
      </c>
      <c r="S24" s="33">
        <v>0.013400679499010948</v>
      </c>
      <c r="T24" s="33">
        <v>0.0</v>
      </c>
      <c r="U24" s="33">
        <v>0.18760951298615328</v>
      </c>
    </row>
    <row r="25">
      <c r="L25" s="21" t="s">
        <v>38</v>
      </c>
      <c r="M25" s="33">
        <f t="array" ref="M25">SQRT(AVERAGE(M20:M24^2))</f>
        <v>0.3763455177</v>
      </c>
      <c r="N25" s="33">
        <f t="shared" ref="N25:U25" si="12">AVERAGE(N20:N24)</f>
        <v>0.03712504758</v>
      </c>
      <c r="O25" s="33">
        <f t="shared" si="12"/>
        <v>0.05486376125</v>
      </c>
      <c r="P25" s="33">
        <f t="shared" si="12"/>
        <v>-0.1150764992</v>
      </c>
      <c r="Q25" s="33">
        <f t="shared" si="12"/>
        <v>-0.1152801644</v>
      </c>
      <c r="R25" s="33">
        <f t="shared" si="12"/>
        <v>0.1269242211</v>
      </c>
      <c r="S25" s="33">
        <f t="shared" si="12"/>
        <v>-0.1074916624</v>
      </c>
      <c r="T25" s="33">
        <f t="shared" si="12"/>
        <v>0.05486376125</v>
      </c>
      <c r="U25" s="33">
        <f t="shared" si="12"/>
        <v>0.00494001044</v>
      </c>
    </row>
    <row r="26">
      <c r="A26" s="21">
        <f t="shared" ref="A26:H26" si="13">A19-N25*$B$8</f>
        <v>0.2605559889</v>
      </c>
      <c r="B26" s="21">
        <f t="shared" si="13"/>
        <v>0.002920969955</v>
      </c>
      <c r="C26" s="21">
        <f t="shared" si="13"/>
        <v>0.4806184498</v>
      </c>
      <c r="D26" s="21">
        <f t="shared" si="13"/>
        <v>0.4772903462</v>
      </c>
      <c r="E26" s="21">
        <f t="shared" si="13"/>
        <v>-1.393925746</v>
      </c>
      <c r="F26" s="21">
        <f t="shared" si="13"/>
        <v>0.0443853031</v>
      </c>
      <c r="G26" s="21">
        <f t="shared" si="13"/>
        <v>2.08232097</v>
      </c>
      <c r="H26" s="21">
        <f t="shared" si="13"/>
        <v>-0.6492430658</v>
      </c>
      <c r="I26" s="21" t="s">
        <v>35</v>
      </c>
      <c r="J26" s="21" t="s">
        <v>36</v>
      </c>
      <c r="K26" s="21" t="s">
        <v>39</v>
      </c>
      <c r="L26" s="21" t="s">
        <v>40</v>
      </c>
      <c r="M26" s="28" t="s">
        <v>37</v>
      </c>
      <c r="N26" s="31" t="s">
        <v>0</v>
      </c>
      <c r="O26" s="32" t="s">
        <v>1</v>
      </c>
      <c r="P26" s="32" t="s">
        <v>2</v>
      </c>
      <c r="Q26" s="32" t="s">
        <v>3</v>
      </c>
      <c r="R26" s="32" t="s">
        <v>4</v>
      </c>
      <c r="S26" s="32" t="s">
        <v>5</v>
      </c>
      <c r="T26" s="32" t="s">
        <v>6</v>
      </c>
      <c r="U26" s="32" t="s">
        <v>16</v>
      </c>
    </row>
    <row r="27">
      <c r="A27" s="33">
        <f t="array" ref="A27:A31">A$3:A$7*A26</f>
        <v>0.06513899724</v>
      </c>
      <c r="B27" s="33">
        <f t="array" ref="B27:B31">B$3:B$7*B26</f>
        <v>0.002920969955</v>
      </c>
      <c r="C27" s="33">
        <f t="array" ref="C27:C31">C$3:C$7*C26</f>
        <v>0.1922473799</v>
      </c>
      <c r="D27" s="33">
        <f t="array" ref="D27:D31">D$3:D$7*D26</f>
        <v>0.1590967821</v>
      </c>
      <c r="E27" s="33">
        <f t="array" ref="E27:E31">E$3:E$7*E26</f>
        <v>-0.696962873</v>
      </c>
      <c r="F27" s="33">
        <f t="array" ref="F27:F31">F$3:F$7*F26</f>
        <v>0.006340757586</v>
      </c>
      <c r="G27" s="33">
        <f t="array" ref="G27:G31">G$3:G$7*G26</f>
        <v>2.08232097</v>
      </c>
      <c r="H27" s="33">
        <f t="array" ref="H27:H31">H$3:H$7*H26</f>
        <v>-0.6492430658</v>
      </c>
      <c r="I27" s="33">
        <f t="shared" ref="I27:I31" si="14">SUM(A27:H27)</f>
        <v>1.161859918</v>
      </c>
      <c r="J27" s="33">
        <f t="shared" ref="J27:J31" si="15">1/(1 + EXP(-I27))</f>
        <v>0.7616705073</v>
      </c>
      <c r="K27" s="33">
        <f>J27^I$3 * (1-J27)^(1 - I$3)</f>
        <v>0.7616705073</v>
      </c>
      <c r="L27" s="33">
        <f>I$3*log(J27)+(1-I$3)*log(1-J27)</f>
        <v>-0.1182328604</v>
      </c>
      <c r="M27" s="33">
        <f t="array" ref="M27:M31">J27:J31-I$3:I$7</f>
        <v>-0.2383294927</v>
      </c>
      <c r="N27" s="33">
        <f t="array" ref="N27:N31">$M27:$M31*A$3:A$7</f>
        <v>-0.05958237317</v>
      </c>
      <c r="O27" s="33">
        <f t="array" ref="O27:O31">$M27:$M31*B$3:B$7</f>
        <v>-0.2383294927</v>
      </c>
      <c r="P27" s="33">
        <f t="array" ref="P27:P31">$M27:$M31*C$3:C$7</f>
        <v>-0.09533179707</v>
      </c>
      <c r="Q27" s="33">
        <f t="array" ref="Q27:Q31">$M27:$M31*D$3:D$7</f>
        <v>-0.07944316422</v>
      </c>
      <c r="R27" s="33">
        <f t="array" ref="R27:R31">$M27:$M31*E$3:E$7</f>
        <v>-0.1191647463</v>
      </c>
      <c r="S27" s="33">
        <f t="array" ref="S27:S31">$M27:$M31*F$3:F$7</f>
        <v>-0.03404707038</v>
      </c>
      <c r="T27" s="33">
        <f t="array" ref="T27:T31">$M27:$M31*G$3:G$7</f>
        <v>-0.2383294927</v>
      </c>
      <c r="U27" s="33">
        <f t="array" ref="U27:U31">$M27:$M31*H$3:H$7</f>
        <v>-0.2383294927</v>
      </c>
    </row>
    <row r="28">
      <c r="A28" s="33">
        <v>0.19541699170846663</v>
      </c>
      <c r="B28" s="33">
        <v>0.0</v>
      </c>
      <c r="C28" s="33">
        <v>0.480618449799186</v>
      </c>
      <c r="D28" s="33">
        <v>0.4772903461538791</v>
      </c>
      <c r="E28" s="33">
        <v>0.0</v>
      </c>
      <c r="F28" s="33">
        <v>0.03804454551467863</v>
      </c>
      <c r="G28" s="33">
        <v>0.0</v>
      </c>
      <c r="H28" s="33">
        <v>-0.6492430658118206</v>
      </c>
      <c r="I28" s="33">
        <f t="shared" si="14"/>
        <v>0.5421272674</v>
      </c>
      <c r="J28" s="33">
        <f t="shared" si="15"/>
        <v>0.6323071354</v>
      </c>
      <c r="K28" s="33">
        <f>J28^I$4 * (1-J28)^(1 - I$4)</f>
        <v>0.6323071354</v>
      </c>
      <c r="L28" s="33">
        <f>I$4*log(J28)+(1-I$4)*log(1-J28)</f>
        <v>-0.1990719172</v>
      </c>
      <c r="M28" s="33">
        <v>-0.36769286456380634</v>
      </c>
      <c r="N28" s="33">
        <v>-0.2757696484228548</v>
      </c>
      <c r="O28" s="33">
        <v>0.0</v>
      </c>
      <c r="P28" s="33">
        <v>-0.36769286456380634</v>
      </c>
      <c r="Q28" s="33">
        <v>-0.36769286456380634</v>
      </c>
      <c r="R28" s="33">
        <v>0.0</v>
      </c>
      <c r="S28" s="33">
        <v>-0.31516531248326257</v>
      </c>
      <c r="T28" s="33">
        <v>0.0</v>
      </c>
      <c r="U28" s="33">
        <v>-0.36769286456380634</v>
      </c>
    </row>
    <row r="29">
      <c r="A29" s="33">
        <v>0.2605559889446222</v>
      </c>
      <c r="B29" s="33">
        <v>0.002920969955004349</v>
      </c>
      <c r="C29" s="33">
        <v>0.0</v>
      </c>
      <c r="D29" s="33">
        <v>0.0</v>
      </c>
      <c r="E29" s="33">
        <v>-1.3939257460114092</v>
      </c>
      <c r="F29" s="33">
        <v>0.0</v>
      </c>
      <c r="G29" s="33">
        <v>2.0823209699550045</v>
      </c>
      <c r="H29" s="33">
        <v>-0.6492430658118206</v>
      </c>
      <c r="I29" s="33">
        <f t="shared" si="14"/>
        <v>0.302629117</v>
      </c>
      <c r="J29" s="33">
        <f t="shared" si="15"/>
        <v>0.5750851002</v>
      </c>
      <c r="K29" s="33">
        <f>J29^I$5 * (1-J29)^(1 - I$5)</f>
        <v>0.4249148998</v>
      </c>
      <c r="L29" s="33">
        <f>I$5*log(J29)+(1-I$5)*log(1-J29)</f>
        <v>-0.3716980399</v>
      </c>
      <c r="M29" s="33">
        <v>0.5750851001870608</v>
      </c>
      <c r="N29" s="33">
        <v>0.5750851001870608</v>
      </c>
      <c r="O29" s="33">
        <v>0.5750851001870608</v>
      </c>
      <c r="P29" s="33">
        <v>0.0</v>
      </c>
      <c r="Q29" s="33">
        <v>0.0</v>
      </c>
      <c r="R29" s="33">
        <v>0.5750851001870608</v>
      </c>
      <c r="S29" s="33">
        <v>0.0</v>
      </c>
      <c r="T29" s="33">
        <v>0.5750851001870608</v>
      </c>
      <c r="U29" s="33">
        <v>0.5750851001870608</v>
      </c>
    </row>
    <row r="30">
      <c r="A30" s="33">
        <v>0.1302779944723111</v>
      </c>
      <c r="B30" s="33">
        <v>0.002920969955004349</v>
      </c>
      <c r="C30" s="33">
        <v>0.2883710698795116</v>
      </c>
      <c r="D30" s="33">
        <v>0.31819356410258604</v>
      </c>
      <c r="E30" s="33">
        <v>-0.3484814365028523</v>
      </c>
      <c r="F30" s="33">
        <v>0.044385303100458406</v>
      </c>
      <c r="G30" s="33">
        <v>2.0823209699550045</v>
      </c>
      <c r="H30" s="33">
        <v>-0.6492430658118206</v>
      </c>
      <c r="I30" s="33">
        <f t="shared" si="14"/>
        <v>1.868745369</v>
      </c>
      <c r="J30" s="33">
        <f t="shared" si="15"/>
        <v>0.8663130395</v>
      </c>
      <c r="K30" s="33">
        <f>J30^I$6 * (1-J30)^(1 - I$6)</f>
        <v>0.8663130395</v>
      </c>
      <c r="L30" s="33">
        <f>I$6*log(J30)+(1-I$6)*log(1-J30)</f>
        <v>-0.06232514869</v>
      </c>
      <c r="M30" s="33">
        <v>-0.1336869605317108</v>
      </c>
      <c r="N30" s="33">
        <v>-0.0668434802658554</v>
      </c>
      <c r="O30" s="33">
        <v>-0.1336869605317108</v>
      </c>
      <c r="P30" s="33">
        <v>-0.08021217631902648</v>
      </c>
      <c r="Q30" s="33">
        <v>-0.08912464035447387</v>
      </c>
      <c r="R30" s="33">
        <v>-0.0334217401329277</v>
      </c>
      <c r="S30" s="33">
        <v>-0.1336869605317108</v>
      </c>
      <c r="T30" s="33">
        <v>-0.1336869605317108</v>
      </c>
      <c r="U30" s="33">
        <v>-0.1336869605317108</v>
      </c>
    </row>
    <row r="31">
      <c r="A31" s="33">
        <v>0.0</v>
      </c>
      <c r="B31" s="33">
        <v>0.0</v>
      </c>
      <c r="C31" s="33">
        <v>0.09612368995983721</v>
      </c>
      <c r="D31" s="33">
        <v>0.07954839102564651</v>
      </c>
      <c r="E31" s="33">
        <v>-1.0454443095085568</v>
      </c>
      <c r="F31" s="33">
        <v>0.003170378792889886</v>
      </c>
      <c r="G31" s="33">
        <v>0.0</v>
      </c>
      <c r="H31" s="33">
        <v>-0.6492430658118206</v>
      </c>
      <c r="I31" s="33">
        <f t="shared" si="14"/>
        <v>-1.515844916</v>
      </c>
      <c r="J31" s="33">
        <f t="shared" si="15"/>
        <v>0.1800741918</v>
      </c>
      <c r="K31" s="33">
        <f>J31^I$7 * (1-J31)^(1 - I$7)</f>
        <v>0.8199258082</v>
      </c>
      <c r="L31" s="33">
        <f>I$7*log(J31)+(1-I$7)*log(1-J31)</f>
        <v>-0.08622544342</v>
      </c>
      <c r="M31" s="33">
        <v>0.18007419182696696</v>
      </c>
      <c r="N31" s="33">
        <v>0.0</v>
      </c>
      <c r="O31" s="33">
        <v>0.0</v>
      </c>
      <c r="P31" s="33">
        <v>0.036014838365393397</v>
      </c>
      <c r="Q31" s="33">
        <v>0.03001236530449449</v>
      </c>
      <c r="R31" s="33">
        <v>0.13505564387022523</v>
      </c>
      <c r="S31" s="33">
        <v>0.012862442273354781</v>
      </c>
      <c r="T31" s="33">
        <v>0.0</v>
      </c>
      <c r="U31" s="33">
        <v>0.18007419182696696</v>
      </c>
    </row>
    <row r="32">
      <c r="L32" s="21" t="s">
        <v>38</v>
      </c>
      <c r="M32" s="33">
        <f t="array" ref="M32">SQRT(AVERAGE(M27:M31^2))</f>
        <v>0.338532356</v>
      </c>
      <c r="N32" s="33">
        <f t="shared" ref="N32:U32" si="16">AVERAGE(N27:N31)</f>
        <v>0.03457791967</v>
      </c>
      <c r="O32" s="33">
        <f t="shared" si="16"/>
        <v>0.0406137294</v>
      </c>
      <c r="P32" s="33">
        <f t="shared" si="16"/>
        <v>-0.1014443999</v>
      </c>
      <c r="Q32" s="33">
        <f t="shared" si="16"/>
        <v>-0.1012496608</v>
      </c>
      <c r="R32" s="33">
        <f t="shared" si="16"/>
        <v>0.1115108515</v>
      </c>
      <c r="S32" s="33">
        <f t="shared" si="16"/>
        <v>-0.09400738022</v>
      </c>
      <c r="T32" s="33">
        <f t="shared" si="16"/>
        <v>0.0406137294</v>
      </c>
      <c r="U32" s="33">
        <f t="shared" si="16"/>
        <v>0.00308999485</v>
      </c>
    </row>
    <row r="33">
      <c r="A33" s="21">
        <f t="shared" ref="A33:H33" si="17">A26-N32*$B$8</f>
        <v>0.2259780693</v>
      </c>
      <c r="B33" s="21">
        <f t="shared" si="17"/>
        <v>-0.03769275944</v>
      </c>
      <c r="C33" s="21">
        <f t="shared" si="17"/>
        <v>0.5820628497</v>
      </c>
      <c r="D33" s="21">
        <f t="shared" si="17"/>
        <v>0.5785400069</v>
      </c>
      <c r="E33" s="21">
        <f t="shared" si="17"/>
        <v>-1.505436598</v>
      </c>
      <c r="F33" s="21">
        <f t="shared" si="17"/>
        <v>0.1383926833</v>
      </c>
      <c r="G33" s="21">
        <f t="shared" si="17"/>
        <v>2.041707241</v>
      </c>
      <c r="H33" s="21">
        <f t="shared" si="17"/>
        <v>-0.6523330607</v>
      </c>
      <c r="I33" s="21" t="s">
        <v>35</v>
      </c>
      <c r="J33" s="21" t="s">
        <v>36</v>
      </c>
      <c r="K33" s="21" t="s">
        <v>39</v>
      </c>
      <c r="L33" s="21" t="s">
        <v>40</v>
      </c>
      <c r="M33" s="28" t="s">
        <v>37</v>
      </c>
      <c r="N33" s="31" t="s">
        <v>0</v>
      </c>
      <c r="O33" s="32" t="s">
        <v>1</v>
      </c>
      <c r="P33" s="32" t="s">
        <v>2</v>
      </c>
      <c r="Q33" s="32" t="s">
        <v>3</v>
      </c>
      <c r="R33" s="32" t="s">
        <v>4</v>
      </c>
      <c r="S33" s="32" t="s">
        <v>5</v>
      </c>
      <c r="T33" s="32" t="s">
        <v>6</v>
      </c>
      <c r="U33" s="32" t="s">
        <v>16</v>
      </c>
    </row>
    <row r="34">
      <c r="A34" s="33">
        <f t="array" ref="A34:A38">A$3:A$7*A33</f>
        <v>0.05649451732</v>
      </c>
      <c r="B34" s="33">
        <f t="array" ref="B34:B38">B$3:B$7*B33</f>
        <v>-0.03769275944</v>
      </c>
      <c r="C34" s="33">
        <f t="array" ref="C34:C38">C$3:C$7*C33</f>
        <v>0.2328251399</v>
      </c>
      <c r="D34" s="33">
        <f t="array" ref="D34:D38">D$3:D$7*D33</f>
        <v>0.192846669</v>
      </c>
      <c r="E34" s="33">
        <f t="array" ref="E34:E38">E$3:E$7*E33</f>
        <v>-0.7527182988</v>
      </c>
      <c r="F34" s="33">
        <f t="array" ref="F34:F38">F$3:F$7*F33</f>
        <v>0.01977038333</v>
      </c>
      <c r="G34" s="33">
        <f t="array" ref="G34:G38">G$3:G$7*G33</f>
        <v>2.041707241</v>
      </c>
      <c r="H34" s="33">
        <f t="array" ref="H34:H38">H$3:H$7*H33</f>
        <v>-0.6523330607</v>
      </c>
      <c r="I34" s="33">
        <f t="shared" ref="I34:I38" si="18">SUM(A34:H34)</f>
        <v>1.100899831</v>
      </c>
      <c r="J34" s="33">
        <f t="shared" ref="J34:J38" si="19">1/(1 + EXP(-I34))</f>
        <v>0.7504286689</v>
      </c>
      <c r="K34" s="33">
        <f>J34^I$3 * (1-J34)^(1 - I$3)</f>
        <v>0.7504286689</v>
      </c>
      <c r="L34" s="33">
        <f>I$3*log(J34)+(1-I$3)*log(1-J34)</f>
        <v>-0.1246905828</v>
      </c>
      <c r="M34" s="33">
        <f t="array" ref="M34:M38">J34:J38-I$3:I$7</f>
        <v>-0.2495713311</v>
      </c>
      <c r="N34" s="33">
        <f t="array" ref="N34:N38">$M34:$M38*A$3:A$7</f>
        <v>-0.06239283278</v>
      </c>
      <c r="O34" s="33">
        <f t="array" ref="O34:O38">$M34:$M38*B$3:B$7</f>
        <v>-0.2495713311</v>
      </c>
      <c r="P34" s="33">
        <f t="array" ref="P34:P38">$M34:$M38*C$3:C$7</f>
        <v>-0.09982853244</v>
      </c>
      <c r="Q34" s="33">
        <f t="array" ref="Q34:Q38">$M34:$M38*D$3:D$7</f>
        <v>-0.0831904437</v>
      </c>
      <c r="R34" s="33">
        <f t="array" ref="R34:R38">$M34:$M38*E$3:E$7</f>
        <v>-0.1247856656</v>
      </c>
      <c r="S34" s="33">
        <f t="array" ref="S34:S38">$M34:$M38*F$3:F$7</f>
        <v>-0.0356530473</v>
      </c>
      <c r="T34" s="33">
        <f t="array" ref="T34:T38">$M34:$M38*G$3:G$7</f>
        <v>-0.2495713311</v>
      </c>
      <c r="U34" s="33">
        <f t="array" ref="U34:U38">$M34:$M38*H$3:H$7</f>
        <v>-0.2495713311</v>
      </c>
    </row>
    <row r="35">
      <c r="A35" s="33">
        <v>0.16948355195872847</v>
      </c>
      <c r="B35" s="33">
        <v>0.0</v>
      </c>
      <c r="C35" s="33">
        <v>0.582062849716038</v>
      </c>
      <c r="D35" s="33">
        <v>0.5785400069211064</v>
      </c>
      <c r="E35" s="33">
        <v>0.0</v>
      </c>
      <c r="F35" s="33">
        <v>0.11862229999284309</v>
      </c>
      <c r="G35" s="33">
        <v>0.0</v>
      </c>
      <c r="H35" s="33">
        <v>-0.6523330606621124</v>
      </c>
      <c r="I35" s="33">
        <f t="shared" si="18"/>
        <v>0.7963756479</v>
      </c>
      <c r="J35" s="33">
        <f t="shared" si="19"/>
        <v>0.6891986637</v>
      </c>
      <c r="K35" s="33">
        <f>J35^I$4 * (1-J35)^(1 - I$4)</f>
        <v>0.6891986637</v>
      </c>
      <c r="L35" s="33">
        <f>I$4*log(J35)+(1-I$4)*log(1-J35)</f>
        <v>-0.1616555733</v>
      </c>
      <c r="M35" s="33">
        <v>-0.31080133625219164</v>
      </c>
      <c r="N35" s="33">
        <v>-0.23310100218914373</v>
      </c>
      <c r="O35" s="33">
        <v>0.0</v>
      </c>
      <c r="P35" s="33">
        <v>-0.31080133625219164</v>
      </c>
      <c r="Q35" s="33">
        <v>-0.31080133625219164</v>
      </c>
      <c r="R35" s="33">
        <v>0.0</v>
      </c>
      <c r="S35" s="33">
        <v>-0.2664011453590214</v>
      </c>
      <c r="T35" s="33">
        <v>0.0</v>
      </c>
      <c r="U35" s="33">
        <v>-0.31080133625219164</v>
      </c>
    </row>
    <row r="36">
      <c r="A36" s="33">
        <v>0.22597806927830463</v>
      </c>
      <c r="B36" s="33">
        <v>-0.03769275944265531</v>
      </c>
      <c r="C36" s="33">
        <v>0.0</v>
      </c>
      <c r="D36" s="33">
        <v>0.0</v>
      </c>
      <c r="E36" s="33">
        <v>-1.5054365975295756</v>
      </c>
      <c r="F36" s="33">
        <v>0.0</v>
      </c>
      <c r="G36" s="33">
        <v>2.041707240557345</v>
      </c>
      <c r="H36" s="33">
        <v>-0.6523330606621124</v>
      </c>
      <c r="I36" s="33">
        <f t="shared" si="18"/>
        <v>0.0722228922</v>
      </c>
      <c r="J36" s="33">
        <f t="shared" si="19"/>
        <v>0.5180478787</v>
      </c>
      <c r="K36" s="33">
        <f>J36^I$5 * (1-J36)^(1 - I$5)</f>
        <v>0.4819521213</v>
      </c>
      <c r="L36" s="33">
        <f>I$5*log(J36)+(1-I$5)*log(1-J36)</f>
        <v>-0.3169961039</v>
      </c>
      <c r="M36" s="33">
        <v>0.5180478787011602</v>
      </c>
      <c r="N36" s="33">
        <v>0.5180478787011602</v>
      </c>
      <c r="O36" s="33">
        <v>0.5180478787011602</v>
      </c>
      <c r="P36" s="33">
        <v>0.0</v>
      </c>
      <c r="Q36" s="33">
        <v>0.0</v>
      </c>
      <c r="R36" s="33">
        <v>0.5180478787011602</v>
      </c>
      <c r="S36" s="33">
        <v>0.0</v>
      </c>
      <c r="T36" s="33">
        <v>0.5180478787011602</v>
      </c>
      <c r="U36" s="33">
        <v>0.5180478787011602</v>
      </c>
    </row>
    <row r="37">
      <c r="A37" s="33">
        <v>0.11298903463915232</v>
      </c>
      <c r="B37" s="33">
        <v>-0.03769275944265531</v>
      </c>
      <c r="C37" s="33">
        <v>0.3492377098296228</v>
      </c>
      <c r="D37" s="33">
        <v>0.38569333794740424</v>
      </c>
      <c r="E37" s="33">
        <v>-0.3763591493823939</v>
      </c>
      <c r="F37" s="33">
        <v>0.1383926833249836</v>
      </c>
      <c r="G37" s="33">
        <v>2.041707240557345</v>
      </c>
      <c r="H37" s="33">
        <v>-0.6523330606621124</v>
      </c>
      <c r="I37" s="33">
        <f t="shared" si="18"/>
        <v>1.961635037</v>
      </c>
      <c r="J37" s="33">
        <f t="shared" si="19"/>
        <v>0.876709792</v>
      </c>
      <c r="K37" s="33">
        <f>J37^I$6 * (1-J37)^(1 - I$6)</f>
        <v>0.876709792</v>
      </c>
      <c r="L37" s="33">
        <f>I$6*log(J37)+(1-I$6)*log(1-J37)</f>
        <v>-0.05714414277</v>
      </c>
      <c r="M37" s="33">
        <v>-0.12329020799130985</v>
      </c>
      <c r="N37" s="33">
        <v>-0.061645103995654926</v>
      </c>
      <c r="O37" s="33">
        <v>-0.12329020799130985</v>
      </c>
      <c r="P37" s="33">
        <v>-0.0739741247947859</v>
      </c>
      <c r="Q37" s="33">
        <v>-0.08219347199420657</v>
      </c>
      <c r="R37" s="33">
        <v>-0.030822551997827463</v>
      </c>
      <c r="S37" s="33">
        <v>-0.12329020799130985</v>
      </c>
      <c r="T37" s="33">
        <v>-0.12329020799130985</v>
      </c>
      <c r="U37" s="33">
        <v>-0.12329020799130985</v>
      </c>
    </row>
    <row r="38">
      <c r="A38" s="33">
        <v>0.0</v>
      </c>
      <c r="B38" s="33">
        <v>0.0</v>
      </c>
      <c r="C38" s="33">
        <v>0.11641256994320762</v>
      </c>
      <c r="D38" s="33">
        <v>0.09642333448685106</v>
      </c>
      <c r="E38" s="33">
        <v>-1.1290774481471817</v>
      </c>
      <c r="F38" s="33">
        <v>0.009885191666070258</v>
      </c>
      <c r="G38" s="33">
        <v>0.0</v>
      </c>
      <c r="H38" s="33">
        <v>-0.6523330606621124</v>
      </c>
      <c r="I38" s="33">
        <f t="shared" si="18"/>
        <v>-1.558689413</v>
      </c>
      <c r="J38" s="33">
        <f t="shared" si="19"/>
        <v>0.1738347882</v>
      </c>
      <c r="K38" s="33">
        <f>J38^I$7 * (1-J38)^(1 - I$7)</f>
        <v>0.8261652118</v>
      </c>
      <c r="L38" s="33">
        <f>I$7*log(J38)+(1-I$7)*log(1-J38)</f>
        <v>-0.08293309627</v>
      </c>
      <c r="M38" s="33">
        <v>0.1738347882052234</v>
      </c>
      <c r="N38" s="33">
        <v>0.0</v>
      </c>
      <c r="O38" s="33">
        <v>0.0</v>
      </c>
      <c r="P38" s="33">
        <v>0.034766957641044684</v>
      </c>
      <c r="Q38" s="33">
        <v>0.028972464700870566</v>
      </c>
      <c r="R38" s="33">
        <v>0.13037609115391757</v>
      </c>
      <c r="S38" s="33">
        <v>0.012416770586087386</v>
      </c>
      <c r="T38" s="33">
        <v>0.0</v>
      </c>
      <c r="U38" s="33">
        <v>0.1738347882052234</v>
      </c>
    </row>
    <row r="39">
      <c r="L39" s="21" t="s">
        <v>38</v>
      </c>
      <c r="M39" s="33">
        <f t="array" ref="M39">SQRT(AVERAGE(M34:M38^2))</f>
        <v>0.3074657488</v>
      </c>
      <c r="N39" s="33">
        <f t="shared" ref="N39:U39" si="20">AVERAGE(N34:N38)</f>
        <v>0.03218178795</v>
      </c>
      <c r="O39" s="33">
        <f t="shared" si="20"/>
        <v>0.02903726792</v>
      </c>
      <c r="P39" s="33">
        <f t="shared" si="20"/>
        <v>-0.08996740717</v>
      </c>
      <c r="Q39" s="33">
        <f t="shared" si="20"/>
        <v>-0.08944255745</v>
      </c>
      <c r="R39" s="33">
        <f t="shared" si="20"/>
        <v>0.09856315046</v>
      </c>
      <c r="S39" s="33">
        <f t="shared" si="20"/>
        <v>-0.08258552601</v>
      </c>
      <c r="T39" s="33">
        <f t="shared" si="20"/>
        <v>0.02903726792</v>
      </c>
      <c r="U39" s="33">
        <f t="shared" si="20"/>
        <v>0.00164395831</v>
      </c>
    </row>
    <row r="40">
      <c r="A40" s="21">
        <f t="shared" ref="A40:H40" si="21">A33-N39*$B$8</f>
        <v>0.1937962813</v>
      </c>
      <c r="B40" s="21">
        <f t="shared" si="21"/>
        <v>-0.06673002736</v>
      </c>
      <c r="C40" s="21">
        <f t="shared" si="21"/>
        <v>0.6720302569</v>
      </c>
      <c r="D40" s="21">
        <f t="shared" si="21"/>
        <v>0.6679825644</v>
      </c>
      <c r="E40" s="21">
        <f t="shared" si="21"/>
        <v>-1.603999748</v>
      </c>
      <c r="F40" s="21">
        <f t="shared" si="21"/>
        <v>0.2209782093</v>
      </c>
      <c r="G40" s="21">
        <f t="shared" si="21"/>
        <v>2.012669973</v>
      </c>
      <c r="H40" s="21">
        <f t="shared" si="21"/>
        <v>-0.653977019</v>
      </c>
      <c r="I40" s="21" t="s">
        <v>35</v>
      </c>
      <c r="J40" s="21" t="s">
        <v>36</v>
      </c>
      <c r="K40" s="21" t="s">
        <v>39</v>
      </c>
      <c r="L40" s="21" t="s">
        <v>40</v>
      </c>
      <c r="M40" s="28" t="s">
        <v>37</v>
      </c>
      <c r="N40" s="31" t="s">
        <v>0</v>
      </c>
      <c r="O40" s="32" t="s">
        <v>1</v>
      </c>
      <c r="P40" s="32" t="s">
        <v>2</v>
      </c>
      <c r="Q40" s="32" t="s">
        <v>3</v>
      </c>
      <c r="R40" s="32" t="s">
        <v>4</v>
      </c>
      <c r="S40" s="32" t="s">
        <v>5</v>
      </c>
      <c r="T40" s="32" t="s">
        <v>6</v>
      </c>
      <c r="U40" s="32" t="s">
        <v>16</v>
      </c>
    </row>
    <row r="41">
      <c r="A41" s="33">
        <f t="array" ref="A41:A45">A$3:A$7*A40</f>
        <v>0.04844907033</v>
      </c>
      <c r="B41" s="33">
        <f t="array" ref="B41:B45">B$3:B$7*B40</f>
        <v>-0.06673002736</v>
      </c>
      <c r="C41" s="33">
        <f t="array" ref="C41:C45">C$3:C$7*C40</f>
        <v>0.2688121028</v>
      </c>
      <c r="D41" s="33">
        <f t="array" ref="D41:D45">D$3:D$7*D40</f>
        <v>0.2226608548</v>
      </c>
      <c r="E41" s="33">
        <f t="array" ref="E41:E45">E$3:E$7*E40</f>
        <v>-0.801999874</v>
      </c>
      <c r="F41" s="33">
        <f t="array" ref="F41:F45">F$3:F$7*F40</f>
        <v>0.03156831562</v>
      </c>
      <c r="G41" s="33">
        <f t="array" ref="G41:G45">G$3:G$7*G40</f>
        <v>2.012669973</v>
      </c>
      <c r="H41" s="33">
        <f t="array" ref="H41:H45">H$3:H$7*H40</f>
        <v>-0.653977019</v>
      </c>
      <c r="I41" s="33">
        <f t="shared" ref="I41:I45" si="22">SUM(A41:H41)</f>
        <v>1.061453396</v>
      </c>
      <c r="J41" s="33">
        <f t="shared" ref="J41:J45" si="23">1/(1 + EXP(-I41))</f>
        <v>0.7429681931</v>
      </c>
      <c r="K41" s="33">
        <f>J41^I$3 * (1-J41)^(1 - I$3)</f>
        <v>0.7429681931</v>
      </c>
      <c r="L41" s="33">
        <f>I$3*log(J41)+(1-I$3)*log(1-J41)</f>
        <v>-0.1290297782</v>
      </c>
      <c r="M41" s="33">
        <f t="array" ref="M41:M45">J41:J45-I$3:I$7</f>
        <v>-0.2570318069</v>
      </c>
      <c r="N41" s="33">
        <f t="array" ref="N41:N45">$M41:$M45*A$3:A$7</f>
        <v>-0.06425795171</v>
      </c>
      <c r="O41" s="33">
        <f t="array" ref="O41:O45">$M41:$M45*B$3:B$7</f>
        <v>-0.2570318069</v>
      </c>
      <c r="P41" s="33">
        <f t="array" ref="P41:P45">$M41:$M45*C$3:C$7</f>
        <v>-0.1028127227</v>
      </c>
      <c r="Q41" s="33">
        <f t="array" ref="Q41:Q45">$M41:$M45*D$3:D$7</f>
        <v>-0.08567726895</v>
      </c>
      <c r="R41" s="33">
        <f t="array" ref="R41:R45">$M41:$M45*E$3:E$7</f>
        <v>-0.1285159034</v>
      </c>
      <c r="S41" s="33">
        <f t="array" ref="S41:S45">$M41:$M45*F$3:F$7</f>
        <v>-0.03671882955</v>
      </c>
      <c r="T41" s="33">
        <f t="array" ref="T41:T45">$M41:$M45*G$3:G$7</f>
        <v>-0.2570318069</v>
      </c>
      <c r="U41" s="33">
        <f t="array" ref="U41:U45">$M41:$M45*H$3:H$7</f>
        <v>-0.2570318069</v>
      </c>
    </row>
    <row r="42">
      <c r="A42" s="33">
        <v>0.1453472109979686</v>
      </c>
      <c r="B42" s="33">
        <v>0.0</v>
      </c>
      <c r="C42" s="33">
        <v>0.6720302568861726</v>
      </c>
      <c r="D42" s="33">
        <v>0.6679825643710019</v>
      </c>
      <c r="E42" s="33">
        <v>0.0</v>
      </c>
      <c r="F42" s="33">
        <v>0.18940989371843223</v>
      </c>
      <c r="G42" s="33">
        <v>0.0</v>
      </c>
      <c r="H42" s="33">
        <v>-0.6539770189723189</v>
      </c>
      <c r="I42" s="33">
        <f t="shared" si="22"/>
        <v>1.020792907</v>
      </c>
      <c r="J42" s="33">
        <f t="shared" si="23"/>
        <v>0.7351270194</v>
      </c>
      <c r="K42" s="33">
        <f>J42^I$4 * (1-J42)^(1 - I$4)</f>
        <v>0.7351270194</v>
      </c>
      <c r="L42" s="33">
        <f>I$4*log(J42)+(1-I$4)*log(1-J42)</f>
        <v>-0.1336376146</v>
      </c>
      <c r="M42" s="33">
        <v>-0.2648729806399315</v>
      </c>
      <c r="N42" s="33">
        <v>-0.1986547354799486</v>
      </c>
      <c r="O42" s="33">
        <v>0.0</v>
      </c>
      <c r="P42" s="33">
        <v>-0.2648729806399315</v>
      </c>
      <c r="Q42" s="33">
        <v>-0.2648729806399315</v>
      </c>
      <c r="R42" s="33">
        <v>0.0</v>
      </c>
      <c r="S42" s="33">
        <v>-0.22703398340565553</v>
      </c>
      <c r="T42" s="33">
        <v>0.0</v>
      </c>
      <c r="U42" s="33">
        <v>-0.2648729806399315</v>
      </c>
    </row>
    <row r="43">
      <c r="A43" s="33">
        <v>0.19379628133062482</v>
      </c>
      <c r="B43" s="33">
        <v>-0.06673002736225546</v>
      </c>
      <c r="C43" s="33">
        <v>0.0</v>
      </c>
      <c r="D43" s="33">
        <v>0.0</v>
      </c>
      <c r="E43" s="33">
        <v>-1.6039997479898407</v>
      </c>
      <c r="F43" s="33">
        <v>0.0</v>
      </c>
      <c r="G43" s="33">
        <v>2.012669972637745</v>
      </c>
      <c r="H43" s="33">
        <v>-0.6539770189723189</v>
      </c>
      <c r="I43" s="33">
        <f t="shared" si="22"/>
        <v>-0.1182405404</v>
      </c>
      <c r="J43" s="33">
        <f t="shared" si="23"/>
        <v>0.4704742564</v>
      </c>
      <c r="K43" s="33">
        <f>J43^I$5 * (1-J43)^(1 - I$5)</f>
        <v>0.5295257436</v>
      </c>
      <c r="L43" s="33">
        <f>I$5*log(J43)+(1-I$5)*log(1-J43)</f>
        <v>-0.2761129213</v>
      </c>
      <c r="M43" s="33">
        <v>0.47047425642020346</v>
      </c>
      <c r="N43" s="33">
        <v>0.47047425642020346</v>
      </c>
      <c r="O43" s="33">
        <v>0.47047425642020346</v>
      </c>
      <c r="P43" s="33">
        <v>0.0</v>
      </c>
      <c r="Q43" s="33">
        <v>0.0</v>
      </c>
      <c r="R43" s="33">
        <v>0.47047425642020346</v>
      </c>
      <c r="S43" s="33">
        <v>0.0</v>
      </c>
      <c r="T43" s="33">
        <v>0.47047425642020346</v>
      </c>
      <c r="U43" s="33">
        <v>0.47047425642020346</v>
      </c>
    </row>
    <row r="44">
      <c r="A44" s="33">
        <v>0.09689814066531241</v>
      </c>
      <c r="B44" s="33">
        <v>-0.06673002736225546</v>
      </c>
      <c r="C44" s="33">
        <v>0.40321815413170353</v>
      </c>
      <c r="D44" s="33">
        <v>0.4453217095806679</v>
      </c>
      <c r="E44" s="33">
        <v>-0.40099993699746017</v>
      </c>
      <c r="F44" s="33">
        <v>0.22097820933817094</v>
      </c>
      <c r="G44" s="33">
        <v>2.012669972637745</v>
      </c>
      <c r="H44" s="33">
        <v>-0.6539770189723189</v>
      </c>
      <c r="I44" s="33">
        <f t="shared" si="22"/>
        <v>2.057379203</v>
      </c>
      <c r="J44" s="33">
        <f t="shared" si="23"/>
        <v>0.8866911253</v>
      </c>
      <c r="K44" s="33">
        <f>J44^I$6 * (1-J44)^(1 - I$6)</f>
        <v>0.8866911253</v>
      </c>
      <c r="L44" s="33">
        <f>I$6*log(J44)+(1-I$6)*log(1-J44)</f>
        <v>-0.0522276383</v>
      </c>
      <c r="M44" s="33">
        <v>-0.1133088747451676</v>
      </c>
      <c r="N44" s="33">
        <v>-0.0566544373725838</v>
      </c>
      <c r="O44" s="33">
        <v>-0.1133088747451676</v>
      </c>
      <c r="P44" s="33">
        <v>-0.06798532484710056</v>
      </c>
      <c r="Q44" s="33">
        <v>-0.07553924983011173</v>
      </c>
      <c r="R44" s="33">
        <v>-0.0283272186862919</v>
      </c>
      <c r="S44" s="33">
        <v>-0.1133088747451676</v>
      </c>
      <c r="T44" s="33">
        <v>-0.1133088747451676</v>
      </c>
      <c r="U44" s="33">
        <v>-0.1133088747451676</v>
      </c>
    </row>
    <row r="45">
      <c r="A45" s="33">
        <v>0.0</v>
      </c>
      <c r="B45" s="33">
        <v>0.0</v>
      </c>
      <c r="C45" s="33">
        <v>0.13440605137723452</v>
      </c>
      <c r="D45" s="33">
        <v>0.11133042739516698</v>
      </c>
      <c r="E45" s="33">
        <v>-1.2029998109923805</v>
      </c>
      <c r="F45" s="33">
        <v>0.015784157809869352</v>
      </c>
      <c r="G45" s="33">
        <v>0.0</v>
      </c>
      <c r="H45" s="33">
        <v>-0.6539770189723189</v>
      </c>
      <c r="I45" s="33">
        <f t="shared" si="22"/>
        <v>-1.595456193</v>
      </c>
      <c r="J45" s="33">
        <f t="shared" si="23"/>
        <v>0.1686176329</v>
      </c>
      <c r="K45" s="33">
        <f>J45^I$7 * (1-J45)^(1 - I$7)</f>
        <v>0.8313823671</v>
      </c>
      <c r="L45" s="33">
        <f>I$7*log(J45)+(1-I$7)*log(1-J45)</f>
        <v>-0.08019919076</v>
      </c>
      <c r="M45" s="33">
        <v>0.16861763292871484</v>
      </c>
      <c r="N45" s="33">
        <v>0.0</v>
      </c>
      <c r="O45" s="33">
        <v>0.0</v>
      </c>
      <c r="P45" s="33">
        <v>0.03372352658574297</v>
      </c>
      <c r="Q45" s="33">
        <v>0.028102938821452473</v>
      </c>
      <c r="R45" s="33">
        <v>0.12646322469653615</v>
      </c>
      <c r="S45" s="33">
        <v>0.012044116637765345</v>
      </c>
      <c r="T45" s="33">
        <v>0.0</v>
      </c>
      <c r="U45" s="33">
        <v>0.16861763292871484</v>
      </c>
    </row>
    <row r="46">
      <c r="L46" s="21" t="s">
        <v>38</v>
      </c>
      <c r="M46" s="33">
        <f t="array" ref="M46">SQRT(AVERAGE(M41:M45^2))</f>
        <v>0.2824322499</v>
      </c>
      <c r="N46" s="33">
        <f t="shared" ref="N46:U46" si="24">AVERAGE(N41:N45)</f>
        <v>0.03018142637</v>
      </c>
      <c r="O46" s="33">
        <f t="shared" si="24"/>
        <v>0.02002671496</v>
      </c>
      <c r="P46" s="33">
        <f t="shared" si="24"/>
        <v>-0.08038950033</v>
      </c>
      <c r="Q46" s="33">
        <f t="shared" si="24"/>
        <v>-0.07959731212</v>
      </c>
      <c r="R46" s="33">
        <f t="shared" si="24"/>
        <v>0.0880188718</v>
      </c>
      <c r="S46" s="33">
        <f t="shared" si="24"/>
        <v>-0.07300351421</v>
      </c>
      <c r="T46" s="33">
        <f t="shared" si="24"/>
        <v>0.02002671496</v>
      </c>
      <c r="U46" s="33">
        <f t="shared" si="24"/>
        <v>0.0007756454222</v>
      </c>
    </row>
    <row r="47">
      <c r="A47" s="21">
        <f t="shared" ref="A47:H47" si="25">A40-N46*$B$8</f>
        <v>0.163614855</v>
      </c>
      <c r="B47" s="21">
        <f t="shared" si="25"/>
        <v>-0.08675674233</v>
      </c>
      <c r="C47" s="21">
        <f t="shared" si="25"/>
        <v>0.7524197572</v>
      </c>
      <c r="D47" s="21">
        <f t="shared" si="25"/>
        <v>0.7475798765</v>
      </c>
      <c r="E47" s="21">
        <f t="shared" si="25"/>
        <v>-1.69201862</v>
      </c>
      <c r="F47" s="21">
        <f t="shared" si="25"/>
        <v>0.2939817236</v>
      </c>
      <c r="G47" s="21">
        <f t="shared" si="25"/>
        <v>1.992643258</v>
      </c>
      <c r="H47" s="21">
        <f t="shared" si="25"/>
        <v>-0.6547526644</v>
      </c>
      <c r="I47" s="21" t="s">
        <v>35</v>
      </c>
      <c r="J47" s="21" t="s">
        <v>36</v>
      </c>
      <c r="K47" s="21" t="s">
        <v>39</v>
      </c>
      <c r="L47" s="21" t="s">
        <v>40</v>
      </c>
      <c r="M47" s="28" t="s">
        <v>37</v>
      </c>
      <c r="N47" s="31" t="s">
        <v>0</v>
      </c>
      <c r="O47" s="32" t="s">
        <v>1</v>
      </c>
      <c r="P47" s="32" t="s">
        <v>2</v>
      </c>
      <c r="Q47" s="32" t="s">
        <v>3</v>
      </c>
      <c r="R47" s="32" t="s">
        <v>4</v>
      </c>
      <c r="S47" s="32" t="s">
        <v>5</v>
      </c>
      <c r="T47" s="32" t="s">
        <v>6</v>
      </c>
      <c r="U47" s="32" t="s">
        <v>16</v>
      </c>
    </row>
    <row r="48">
      <c r="A48" s="33">
        <f t="array" ref="A48:A52">A$3:A$7*A47</f>
        <v>0.04090371374</v>
      </c>
      <c r="B48" s="33">
        <f t="array" ref="B48:B52">B$3:B$7*B47</f>
        <v>-0.08675674233</v>
      </c>
      <c r="C48" s="33">
        <f t="array" ref="C48:C52">C$3:C$7*C47</f>
        <v>0.3009679029</v>
      </c>
      <c r="D48" s="33">
        <f t="array" ref="D48:D52">D$3:D$7*D47</f>
        <v>0.2491932922</v>
      </c>
      <c r="E48" s="33">
        <f t="array" ref="E48:E52">E$3:E$7*E47</f>
        <v>-0.8460093099</v>
      </c>
      <c r="F48" s="33">
        <f t="array" ref="F48:F52">F$3:F$7*F47</f>
        <v>0.04199738908</v>
      </c>
      <c r="G48" s="33">
        <f t="array" ref="G48:G52">G$3:G$7*G47</f>
        <v>1.992643258</v>
      </c>
      <c r="H48" s="33">
        <f t="array" ref="H48:H52">H$3:H$7*H47</f>
        <v>-0.6547526644</v>
      </c>
      <c r="I48" s="33">
        <f t="shared" ref="I48:I52" si="26">SUM(A48:H48)</f>
        <v>1.038186839</v>
      </c>
      <c r="J48" s="33">
        <f t="shared" ref="J48:J52" si="27">1/(1 + EXP(-I48))</f>
        <v>0.738500004</v>
      </c>
      <c r="K48" s="33">
        <f>J48^I$3 * (1-J48)^(1 - I$3)</f>
        <v>0.738500004</v>
      </c>
      <c r="L48" s="33">
        <f>I$3*log(J48)+(1-I$3)*log(1-J48)</f>
        <v>-0.131649498</v>
      </c>
      <c r="M48" s="33">
        <f t="array" ref="M48:M52">J48:J52-I$3:I$7</f>
        <v>-0.261499996</v>
      </c>
      <c r="N48" s="33">
        <f t="array" ref="N48:N52">$M48:$M52*A$3:A$7</f>
        <v>-0.06537499901</v>
      </c>
      <c r="O48" s="33">
        <f t="array" ref="O48:O52">$M48:$M52*B$3:B$7</f>
        <v>-0.261499996</v>
      </c>
      <c r="P48" s="33">
        <f t="array" ref="P48:P52">$M48:$M52*C$3:C$7</f>
        <v>-0.1045999984</v>
      </c>
      <c r="Q48" s="33">
        <f t="array" ref="Q48:Q52">$M48:$M52*D$3:D$7</f>
        <v>-0.08716666535</v>
      </c>
      <c r="R48" s="33">
        <f t="array" ref="R48:R52">$M48:$M52*E$3:E$7</f>
        <v>-0.130749998</v>
      </c>
      <c r="S48" s="33">
        <f t="array" ref="S48:S52">$M48:$M52*F$3:F$7</f>
        <v>-0.03735714229</v>
      </c>
      <c r="T48" s="33">
        <f t="array" ref="T48:T52">$M48:$M52*G$3:G$7</f>
        <v>-0.261499996</v>
      </c>
      <c r="U48" s="33">
        <f t="array" ref="U48:U52">$M48:$M52*H$3:H$7</f>
        <v>-0.261499996</v>
      </c>
    </row>
    <row r="49">
      <c r="A49" s="33">
        <v>0.12271114121980314</v>
      </c>
      <c r="B49" s="33">
        <v>0.0</v>
      </c>
      <c r="C49" s="33">
        <v>0.7524197572146655</v>
      </c>
      <c r="D49" s="33">
        <v>0.747579876490916</v>
      </c>
      <c r="E49" s="33">
        <v>0.0</v>
      </c>
      <c r="F49" s="33">
        <v>0.2519843344721712</v>
      </c>
      <c r="G49" s="33">
        <v>0.0</v>
      </c>
      <c r="H49" s="33">
        <v>-0.6547526643944951</v>
      </c>
      <c r="I49" s="33">
        <f t="shared" si="26"/>
        <v>1.219942445</v>
      </c>
      <c r="J49" s="33">
        <f t="shared" si="27"/>
        <v>0.7720534207</v>
      </c>
      <c r="K49" s="33">
        <f>J49^I$4 * (1-J49)^(1 - I$4)</f>
        <v>0.7720534207</v>
      </c>
      <c r="L49" s="33">
        <f>I$4*log(J49)+(1-I$4)*log(1-J49)</f>
        <v>-0.1123526485</v>
      </c>
      <c r="M49" s="33">
        <v>-0.22794657934219742</v>
      </c>
      <c r="N49" s="33">
        <v>-0.17095993450664806</v>
      </c>
      <c r="O49" s="33">
        <v>0.0</v>
      </c>
      <c r="P49" s="33">
        <v>-0.22794657934219742</v>
      </c>
      <c r="Q49" s="33">
        <v>-0.22794657934219742</v>
      </c>
      <c r="R49" s="33">
        <v>0.0</v>
      </c>
      <c r="S49" s="33">
        <v>-0.19538278229331207</v>
      </c>
      <c r="T49" s="33">
        <v>0.0</v>
      </c>
      <c r="U49" s="33">
        <v>-0.22794657934219742</v>
      </c>
    </row>
    <row r="50">
      <c r="A50" s="33">
        <v>0.16361485495973752</v>
      </c>
      <c r="B50" s="33">
        <v>-0.08675674232667499</v>
      </c>
      <c r="C50" s="33">
        <v>0.0</v>
      </c>
      <c r="D50" s="33">
        <v>0.0</v>
      </c>
      <c r="E50" s="33">
        <v>-1.6920186197906364</v>
      </c>
      <c r="F50" s="33">
        <v>0.0</v>
      </c>
      <c r="G50" s="33">
        <v>1.9926432576733253</v>
      </c>
      <c r="H50" s="33">
        <v>-0.6547526643944951</v>
      </c>
      <c r="I50" s="33">
        <f t="shared" si="26"/>
        <v>-0.2772699139</v>
      </c>
      <c r="J50" s="33">
        <f t="shared" si="27"/>
        <v>0.4311232197</v>
      </c>
      <c r="K50" s="33">
        <f>J50^I$5 * (1-J50)^(1 - I$5)</f>
        <v>0.5688767803</v>
      </c>
      <c r="L50" s="33">
        <f>I$5*log(J50)+(1-I$5)*log(1-J50)</f>
        <v>-0.2449817924</v>
      </c>
      <c r="M50" s="33">
        <v>0.43112321973519535</v>
      </c>
      <c r="N50" s="33">
        <v>0.43112321973519535</v>
      </c>
      <c r="O50" s="33">
        <v>0.43112321973519535</v>
      </c>
      <c r="P50" s="33">
        <v>0.0</v>
      </c>
      <c r="Q50" s="33">
        <v>0.0</v>
      </c>
      <c r="R50" s="33">
        <v>0.43112321973519535</v>
      </c>
      <c r="S50" s="33">
        <v>0.0</v>
      </c>
      <c r="T50" s="33">
        <v>0.43112321973519535</v>
      </c>
      <c r="U50" s="33">
        <v>0.43112321973519535</v>
      </c>
    </row>
    <row r="51">
      <c r="A51" s="33">
        <v>0.08180742747986876</v>
      </c>
      <c r="B51" s="33">
        <v>-0.08675674232667499</v>
      </c>
      <c r="C51" s="33">
        <v>0.45145185432879925</v>
      </c>
      <c r="D51" s="33">
        <v>0.4983865843272773</v>
      </c>
      <c r="E51" s="33">
        <v>-0.4230046549476591</v>
      </c>
      <c r="F51" s="33">
        <v>0.29398172355086644</v>
      </c>
      <c r="G51" s="33">
        <v>1.9926432576733253</v>
      </c>
      <c r="H51" s="33">
        <v>-0.6547526643944951</v>
      </c>
      <c r="I51" s="33">
        <f t="shared" si="26"/>
        <v>2.153756786</v>
      </c>
      <c r="J51" s="33">
        <f t="shared" si="27"/>
        <v>0.8960193128</v>
      </c>
      <c r="K51" s="33">
        <f>J51^I$6 * (1-J51)^(1 - I$6)</f>
        <v>0.8960193128</v>
      </c>
      <c r="L51" s="33">
        <f>I$6*log(J51)+(1-I$6)*log(1-J51)</f>
        <v>-0.04768262944</v>
      </c>
      <c r="M51" s="33">
        <v>-0.1039806871644674</v>
      </c>
      <c r="N51" s="33">
        <v>-0.0519903435822337</v>
      </c>
      <c r="O51" s="33">
        <v>-0.1039806871644674</v>
      </c>
      <c r="P51" s="33">
        <v>-0.06238841229868044</v>
      </c>
      <c r="Q51" s="33">
        <v>-0.06932045810964493</v>
      </c>
      <c r="R51" s="33">
        <v>-0.02599517179111685</v>
      </c>
      <c r="S51" s="33">
        <v>-0.1039806871644674</v>
      </c>
      <c r="T51" s="33">
        <v>-0.1039806871644674</v>
      </c>
      <c r="U51" s="33">
        <v>-0.1039806871644674</v>
      </c>
    </row>
    <row r="52">
      <c r="A52" s="33">
        <v>0.0</v>
      </c>
      <c r="B52" s="33">
        <v>0.0</v>
      </c>
      <c r="C52" s="33">
        <v>0.1504839514429331</v>
      </c>
      <c r="D52" s="33">
        <v>0.12459664608181932</v>
      </c>
      <c r="E52" s="33">
        <v>-1.2690139648429772</v>
      </c>
      <c r="F52" s="33">
        <v>0.020998694539347603</v>
      </c>
      <c r="G52" s="33">
        <v>0.0</v>
      </c>
      <c r="H52" s="33">
        <v>-0.6547526643944951</v>
      </c>
      <c r="I52" s="33">
        <f t="shared" si="26"/>
        <v>-1.627687337</v>
      </c>
      <c r="J52" s="33">
        <f t="shared" si="27"/>
        <v>0.1641474192</v>
      </c>
      <c r="K52" s="33">
        <f>J52^I$7 * (1-J52)^(1 - I$7)</f>
        <v>0.8358525808</v>
      </c>
      <c r="L52" s="33">
        <f>I$7*log(J52)+(1-I$7)*log(1-J52)</f>
        <v>-0.07787031226</v>
      </c>
      <c r="M52" s="33">
        <v>0.16414741919823497</v>
      </c>
      <c r="N52" s="33">
        <v>0.0</v>
      </c>
      <c r="O52" s="33">
        <v>0.0</v>
      </c>
      <c r="P52" s="33">
        <v>0.032829483839647</v>
      </c>
      <c r="Q52" s="33">
        <v>0.027357903199705828</v>
      </c>
      <c r="R52" s="33">
        <v>0.12311056439867624</v>
      </c>
      <c r="S52" s="33">
        <v>0.011724815657016783</v>
      </c>
      <c r="T52" s="33">
        <v>0.0</v>
      </c>
      <c r="U52" s="33">
        <v>0.16414741919823497</v>
      </c>
    </row>
    <row r="53">
      <c r="L53" s="21" t="s">
        <v>38</v>
      </c>
      <c r="M53" s="33">
        <f t="array" ref="M53">SQRT(AVERAGE(M48:M52^2))</f>
        <v>0.2622843801</v>
      </c>
      <c r="N53" s="33">
        <f t="shared" ref="N53:U53" si="28">AVERAGE(N48:N52)</f>
        <v>0.02855958853</v>
      </c>
      <c r="O53" s="33">
        <f t="shared" si="28"/>
        <v>0.0131285073</v>
      </c>
      <c r="P53" s="33">
        <f t="shared" si="28"/>
        <v>-0.07242110124</v>
      </c>
      <c r="Q53" s="33">
        <f t="shared" si="28"/>
        <v>-0.07141515992</v>
      </c>
      <c r="R53" s="33">
        <f t="shared" si="28"/>
        <v>0.07949772286</v>
      </c>
      <c r="S53" s="33">
        <f t="shared" si="28"/>
        <v>-0.06499915922</v>
      </c>
      <c r="T53" s="33">
        <f t="shared" si="28"/>
        <v>0.0131285073</v>
      </c>
      <c r="U53" s="33">
        <f t="shared" si="28"/>
        <v>0.0003686752755</v>
      </c>
    </row>
    <row r="54">
      <c r="A54" s="21">
        <f t="shared" ref="A54:H54" si="29">A47-N53*$B$8</f>
        <v>0.1350552664</v>
      </c>
      <c r="B54" s="21">
        <f t="shared" si="29"/>
        <v>-0.09988524963</v>
      </c>
      <c r="C54" s="21">
        <f t="shared" si="29"/>
        <v>0.8248408585</v>
      </c>
      <c r="D54" s="21">
        <f t="shared" si="29"/>
        <v>0.8189950364</v>
      </c>
      <c r="E54" s="21">
        <f t="shared" si="29"/>
        <v>-1.771516343</v>
      </c>
      <c r="F54" s="21">
        <f t="shared" si="29"/>
        <v>0.3589808828</v>
      </c>
      <c r="G54" s="21">
        <f t="shared" si="29"/>
        <v>1.97951475</v>
      </c>
      <c r="H54" s="21">
        <f t="shared" si="29"/>
        <v>-0.6551213397</v>
      </c>
      <c r="I54" s="21" t="s">
        <v>35</v>
      </c>
      <c r="J54" s="21" t="s">
        <v>36</v>
      </c>
      <c r="K54" s="21" t="s">
        <v>39</v>
      </c>
      <c r="L54" s="21" t="s">
        <v>40</v>
      </c>
      <c r="M54" s="28" t="s">
        <v>37</v>
      </c>
      <c r="N54" s="31" t="s">
        <v>0</v>
      </c>
      <c r="O54" s="32" t="s">
        <v>1</v>
      </c>
      <c r="P54" s="32" t="s">
        <v>2</v>
      </c>
      <c r="Q54" s="32" t="s">
        <v>3</v>
      </c>
      <c r="R54" s="32" t="s">
        <v>4</v>
      </c>
      <c r="S54" s="32" t="s">
        <v>5</v>
      </c>
      <c r="T54" s="32" t="s">
        <v>6</v>
      </c>
      <c r="U54" s="32" t="s">
        <v>16</v>
      </c>
    </row>
    <row r="55">
      <c r="A55" s="33">
        <f t="array" ref="A55:A59">A$3:A$7*A54</f>
        <v>0.03376381661</v>
      </c>
      <c r="B55" s="33">
        <f t="array" ref="B55:B59">B$3:B$7*B54</f>
        <v>-0.09988524963</v>
      </c>
      <c r="C55" s="33">
        <f t="array" ref="C55:C59">C$3:C$7*C54</f>
        <v>0.3299363434</v>
      </c>
      <c r="D55" s="33">
        <f t="array" ref="D55:D59">D$3:D$7*D54</f>
        <v>0.2729983455</v>
      </c>
      <c r="E55" s="33">
        <f t="array" ref="E55:E59">E$3:E$7*E54</f>
        <v>-0.8857581713</v>
      </c>
      <c r="F55" s="33">
        <f t="array" ref="F55:F59">F$3:F$7*F54</f>
        <v>0.05128298325</v>
      </c>
      <c r="G55" s="33">
        <f t="array" ref="G55:G59">G$3:G$7*G54</f>
        <v>1.97951475</v>
      </c>
      <c r="H55" s="33">
        <f t="array" ref="H55:H59">H$3:H$7*H54</f>
        <v>-0.6551213397</v>
      </c>
      <c r="I55" s="33">
        <f t="shared" ref="I55:I59" si="30">SUM(A55:H55)</f>
        <v>1.026731478</v>
      </c>
      <c r="J55" s="33">
        <f t="shared" ref="J55:J59" si="31">1/(1 + EXP(-I55))</f>
        <v>0.7362817342</v>
      </c>
      <c r="K55" s="33">
        <f>J55^I$3 * (1-J55)^(1 - I$3)</f>
        <v>0.7362817342</v>
      </c>
      <c r="L55" s="33">
        <f>I$3*log(J55)+(1-I$3)*log(1-J55)</f>
        <v>-0.1329559734</v>
      </c>
      <c r="M55" s="33">
        <f t="array" ref="M55:M59">J55:J59-I$3:I$7</f>
        <v>-0.2637182658</v>
      </c>
      <c r="N55" s="33">
        <f t="array" ref="N55:N59">$M55:$M59*A$3:A$7</f>
        <v>-0.06592956644</v>
      </c>
      <c r="O55" s="33">
        <f t="array" ref="O55:O59">$M55:$M59*B$3:B$7</f>
        <v>-0.2637182658</v>
      </c>
      <c r="P55" s="33">
        <f t="array" ref="P55:P59">$M55:$M59*C$3:C$7</f>
        <v>-0.1054873063</v>
      </c>
      <c r="Q55" s="33">
        <f t="array" ref="Q55:Q59">$M55:$M59*D$3:D$7</f>
        <v>-0.08790608858</v>
      </c>
      <c r="R55" s="33">
        <f t="array" ref="R55:R59">$M55:$M59*E$3:E$7</f>
        <v>-0.1318591329</v>
      </c>
      <c r="S55" s="33">
        <f t="array" ref="S55:S59">$M55:$M59*F$3:F$7</f>
        <v>-0.03767403796</v>
      </c>
      <c r="T55" s="33">
        <f t="array" ref="T55:T59">$M55:$M59*G$3:G$7</f>
        <v>-0.2637182658</v>
      </c>
      <c r="U55" s="33">
        <f t="array" ref="U55:U59">$M55:$M59*H$3:H$7</f>
        <v>-0.2637182658</v>
      </c>
    </row>
    <row r="56">
      <c r="A56" s="33">
        <v>0.10129144982469726</v>
      </c>
      <c r="B56" s="33">
        <v>0.0</v>
      </c>
      <c r="C56" s="33">
        <v>0.8248408584588395</v>
      </c>
      <c r="D56" s="33">
        <v>0.8189950364112831</v>
      </c>
      <c r="E56" s="33">
        <v>0.0</v>
      </c>
      <c r="F56" s="33">
        <v>0.3076978995167697</v>
      </c>
      <c r="G56" s="33">
        <v>0.0</v>
      </c>
      <c r="H56" s="33">
        <v>-0.6551213396700286</v>
      </c>
      <c r="I56" s="33">
        <f t="shared" si="30"/>
        <v>1.397703905</v>
      </c>
      <c r="J56" s="33">
        <f t="shared" si="31"/>
        <v>0.8018192801</v>
      </c>
      <c r="K56" s="33">
        <f>J56^I$4 * (1-J56)^(1 - I$4)</f>
        <v>0.8018192801</v>
      </c>
      <c r="L56" s="33">
        <f>I$4*log(J56)+(1-I$4)*log(1-J56)</f>
        <v>-0.09592350518</v>
      </c>
      <c r="M56" s="33">
        <v>-0.19818071993476505</v>
      </c>
      <c r="N56" s="33">
        <v>-0.1486355399510738</v>
      </c>
      <c r="O56" s="33">
        <v>0.0</v>
      </c>
      <c r="P56" s="33">
        <v>-0.19818071993476505</v>
      </c>
      <c r="Q56" s="33">
        <v>-0.19818071993476505</v>
      </c>
      <c r="R56" s="33">
        <v>0.0</v>
      </c>
      <c r="S56" s="33">
        <v>-0.1698691885155129</v>
      </c>
      <c r="T56" s="33">
        <v>0.0</v>
      </c>
      <c r="U56" s="33">
        <v>-0.19818071993476505</v>
      </c>
    </row>
    <row r="57">
      <c r="A57" s="33">
        <v>0.13505526643292967</v>
      </c>
      <c r="B57" s="33">
        <v>-0.09988524963100104</v>
      </c>
      <c r="C57" s="33">
        <v>0.0</v>
      </c>
      <c r="D57" s="33">
        <v>0.0</v>
      </c>
      <c r="E57" s="33">
        <v>-1.7715163426542775</v>
      </c>
      <c r="F57" s="33">
        <v>0.0</v>
      </c>
      <c r="G57" s="33">
        <v>1.9795147503689992</v>
      </c>
      <c r="H57" s="33">
        <v>-0.6551213396700286</v>
      </c>
      <c r="I57" s="33">
        <f t="shared" si="30"/>
        <v>-0.4119529152</v>
      </c>
      <c r="J57" s="33">
        <f t="shared" si="31"/>
        <v>0.3984439413</v>
      </c>
      <c r="K57" s="33">
        <f>J57^I$5 * (1-J57)^(1 - I$5)</f>
        <v>0.6015560587</v>
      </c>
      <c r="L57" s="33">
        <f>I$5*log(J57)+(1-I$5)*log(1-J57)</f>
        <v>-0.2207238948</v>
      </c>
      <c r="M57" s="33">
        <v>0.39844394130808786</v>
      </c>
      <c r="N57" s="33">
        <v>0.39844394130808786</v>
      </c>
      <c r="O57" s="33">
        <v>0.39844394130808786</v>
      </c>
      <c r="P57" s="33">
        <v>0.0</v>
      </c>
      <c r="Q57" s="33">
        <v>0.0</v>
      </c>
      <c r="R57" s="33">
        <v>0.39844394130808786</v>
      </c>
      <c r="S57" s="33">
        <v>0.0</v>
      </c>
      <c r="T57" s="33">
        <v>0.39844394130808786</v>
      </c>
      <c r="U57" s="33">
        <v>0.39844394130808786</v>
      </c>
    </row>
    <row r="58">
      <c r="A58" s="33">
        <v>0.06752763321646484</v>
      </c>
      <c r="B58" s="33">
        <v>-0.09988524963100104</v>
      </c>
      <c r="C58" s="33">
        <v>0.49490451507530364</v>
      </c>
      <c r="D58" s="33">
        <v>0.5459966909408553</v>
      </c>
      <c r="E58" s="33">
        <v>-0.44287908566356937</v>
      </c>
      <c r="F58" s="33">
        <v>0.35898088276956464</v>
      </c>
      <c r="G58" s="33">
        <v>1.9795147503689992</v>
      </c>
      <c r="H58" s="33">
        <v>-0.6551213396700286</v>
      </c>
      <c r="I58" s="33">
        <f t="shared" si="30"/>
        <v>2.249038797</v>
      </c>
      <c r="J58" s="33">
        <f t="shared" si="31"/>
        <v>0.9045675915</v>
      </c>
      <c r="K58" s="33">
        <f>J58^I$6 * (1-J58)^(1 - I$6)</f>
        <v>0.9045675915</v>
      </c>
      <c r="L58" s="33">
        <f>I$6*log(J58)+(1-I$6)*log(1-J58)</f>
        <v>-0.04355897605</v>
      </c>
      <c r="M58" s="33">
        <v>-0.09543240851363766</v>
      </c>
      <c r="N58" s="33">
        <v>-0.04771620425681883</v>
      </c>
      <c r="O58" s="33">
        <v>-0.09543240851363766</v>
      </c>
      <c r="P58" s="33">
        <v>-0.057259445108182594</v>
      </c>
      <c r="Q58" s="33">
        <v>-0.06362160567575843</v>
      </c>
      <c r="R58" s="33">
        <v>-0.023858102128409414</v>
      </c>
      <c r="S58" s="33">
        <v>-0.09543240851363766</v>
      </c>
      <c r="T58" s="33">
        <v>-0.09543240851363766</v>
      </c>
      <c r="U58" s="33">
        <v>-0.09543240851363766</v>
      </c>
    </row>
    <row r="59">
      <c r="A59" s="33">
        <v>0.0</v>
      </c>
      <c r="B59" s="33">
        <v>0.0</v>
      </c>
      <c r="C59" s="33">
        <v>0.16496817169176792</v>
      </c>
      <c r="D59" s="33">
        <v>0.13649917273521384</v>
      </c>
      <c r="E59" s="33">
        <v>-1.3286372569907081</v>
      </c>
      <c r="F59" s="33">
        <v>0.02564149162639747</v>
      </c>
      <c r="G59" s="33">
        <v>0.0</v>
      </c>
      <c r="H59" s="33">
        <v>-0.6551213396700286</v>
      </c>
      <c r="I59" s="33">
        <f t="shared" si="30"/>
        <v>-1.656649761</v>
      </c>
      <c r="J59" s="33">
        <f t="shared" si="31"/>
        <v>0.1602122395</v>
      </c>
      <c r="K59" s="33">
        <f>J59^I$7 * (1-J59)^(1 - I$7)</f>
        <v>0.8397877605</v>
      </c>
      <c r="L59" s="33">
        <f>I$7*log(J59)+(1-I$7)*log(1-J59)</f>
        <v>-0.07583045929</v>
      </c>
      <c r="M59" s="33">
        <v>0.16021223951937674</v>
      </c>
      <c r="N59" s="33">
        <v>0.0</v>
      </c>
      <c r="O59" s="33">
        <v>0.0</v>
      </c>
      <c r="P59" s="33">
        <v>0.03204244790387535</v>
      </c>
      <c r="Q59" s="33">
        <v>0.02670203991989612</v>
      </c>
      <c r="R59" s="33">
        <v>0.12015917963953256</v>
      </c>
      <c r="S59" s="33">
        <v>0.011443731394241196</v>
      </c>
      <c r="T59" s="33">
        <v>0.0</v>
      </c>
      <c r="U59" s="33">
        <v>0.16021223951937674</v>
      </c>
    </row>
    <row r="60">
      <c r="L60" s="21" t="s">
        <v>38</v>
      </c>
      <c r="M60" s="33">
        <f t="array" ref="M60">SQRT(AVERAGE(M55:M59^2))</f>
        <v>0.2459088458</v>
      </c>
      <c r="N60" s="33">
        <f t="shared" ref="N60:U60" si="32">AVERAGE(N55:N59)</f>
        <v>0.02723252613</v>
      </c>
      <c r="O60" s="33">
        <f t="shared" si="32"/>
        <v>0.007858653409</v>
      </c>
      <c r="P60" s="33">
        <f t="shared" si="32"/>
        <v>-0.06577700469</v>
      </c>
      <c r="Q60" s="33">
        <f t="shared" si="32"/>
        <v>-0.06460127485</v>
      </c>
      <c r="R60" s="33">
        <f t="shared" si="32"/>
        <v>0.07257717719</v>
      </c>
      <c r="S60" s="33">
        <f t="shared" si="32"/>
        <v>-0.05830638072</v>
      </c>
      <c r="T60" s="33">
        <f t="shared" si="32"/>
        <v>0.007858653409</v>
      </c>
      <c r="U60" s="33">
        <f t="shared" si="32"/>
        <v>0.0002649573255</v>
      </c>
    </row>
    <row r="61">
      <c r="A61" s="21">
        <f t="shared" ref="A61:H61" si="33">A54-N60*$B$8</f>
        <v>0.1078227403</v>
      </c>
      <c r="B61" s="21">
        <f t="shared" si="33"/>
        <v>-0.107743903</v>
      </c>
      <c r="C61" s="21">
        <f t="shared" si="33"/>
        <v>0.8906178631</v>
      </c>
      <c r="D61" s="21">
        <f t="shared" si="33"/>
        <v>0.8835963113</v>
      </c>
      <c r="E61" s="21">
        <f t="shared" si="33"/>
        <v>-1.84409352</v>
      </c>
      <c r="F61" s="21">
        <f t="shared" si="33"/>
        <v>0.4172872635</v>
      </c>
      <c r="G61" s="21">
        <f t="shared" si="33"/>
        <v>1.971656097</v>
      </c>
      <c r="H61" s="21">
        <f t="shared" si="33"/>
        <v>-0.655386297</v>
      </c>
      <c r="I61" s="21" t="s">
        <v>35</v>
      </c>
      <c r="J61" s="21" t="s">
        <v>36</v>
      </c>
      <c r="K61" s="21" t="s">
        <v>39</v>
      </c>
      <c r="L61" s="21" t="s">
        <v>40</v>
      </c>
      <c r="M61" s="28" t="s">
        <v>37</v>
      </c>
      <c r="N61" s="31" t="s">
        <v>0</v>
      </c>
      <c r="O61" s="32" t="s">
        <v>1</v>
      </c>
      <c r="P61" s="32" t="s">
        <v>2</v>
      </c>
      <c r="Q61" s="32" t="s">
        <v>3</v>
      </c>
      <c r="R61" s="32" t="s">
        <v>4</v>
      </c>
      <c r="S61" s="32" t="s">
        <v>5</v>
      </c>
      <c r="T61" s="32" t="s">
        <v>6</v>
      </c>
      <c r="U61" s="32" t="s">
        <v>16</v>
      </c>
    </row>
    <row r="62">
      <c r="A62" s="33">
        <f t="array" ref="A62:A66">A$3:A$7*A61</f>
        <v>0.02695568508</v>
      </c>
      <c r="B62" s="33">
        <f t="array" ref="B62:B66">B$3:B$7*B61</f>
        <v>-0.107743903</v>
      </c>
      <c r="C62" s="33">
        <f t="array" ref="C62:C66">C$3:C$7*C61</f>
        <v>0.3562471453</v>
      </c>
      <c r="D62" s="33">
        <f t="array" ref="D62:D66">D$3:D$7*D61</f>
        <v>0.2945321038</v>
      </c>
      <c r="E62" s="33">
        <f t="array" ref="E62:E66">E$3:E$7*E61</f>
        <v>-0.9220467599</v>
      </c>
      <c r="F62" s="33">
        <f t="array" ref="F62:F66">F$3:F$7*F61</f>
        <v>0.05961246621</v>
      </c>
      <c r="G62" s="33">
        <f t="array" ref="G62:G66">G$3:G$7*G61</f>
        <v>1.971656097</v>
      </c>
      <c r="H62" s="33">
        <f t="array" ref="H62:H66">H$3:H$7*H61</f>
        <v>-0.655386297</v>
      </c>
      <c r="I62" s="33">
        <f t="shared" ref="I62:I66" si="34">SUM(A62:H62)</f>
        <v>1.023826537</v>
      </c>
      <c r="J62" s="33">
        <f t="shared" ref="J62:J66" si="35">1/(1 + EXP(-I62))</f>
        <v>0.7357172921</v>
      </c>
      <c r="K62" s="33">
        <f>J62^I$3 * (1-J62)^(1 - I$3)</f>
        <v>0.7357172921</v>
      </c>
      <c r="L62" s="33">
        <f>I$3*log(J62)+(1-I$3)*log(1-J62)</f>
        <v>-0.1332890363</v>
      </c>
      <c r="M62" s="33">
        <f t="array" ref="M62:M66">J62:J66-I$3:I$7</f>
        <v>-0.2642827079</v>
      </c>
      <c r="N62" s="33">
        <f t="array" ref="N62:N66">$M62:$M66*A$3:A$7</f>
        <v>-0.06607067698</v>
      </c>
      <c r="O62" s="33">
        <f t="array" ref="O62:O66">$M62:$M66*B$3:B$7</f>
        <v>-0.2642827079</v>
      </c>
      <c r="P62" s="33">
        <f t="array" ref="P62:P66">$M62:$M66*C$3:C$7</f>
        <v>-0.1057130832</v>
      </c>
      <c r="Q62" s="33">
        <f t="array" ref="Q62:Q66">$M62:$M66*D$3:D$7</f>
        <v>-0.08809423598</v>
      </c>
      <c r="R62" s="33">
        <f t="array" ref="R62:R66">$M62:$M66*E$3:E$7</f>
        <v>-0.132141354</v>
      </c>
      <c r="S62" s="33">
        <f t="array" ref="S62:S66">$M62:$M66*F$3:F$7</f>
        <v>-0.03775467256</v>
      </c>
      <c r="T62" s="33">
        <f t="array" ref="T62:T66">$M62:$M66*G$3:G$7</f>
        <v>-0.2642827079</v>
      </c>
      <c r="U62" s="33">
        <f t="array" ref="U62:U66">$M62:$M66*H$3:H$7</f>
        <v>-0.2642827079</v>
      </c>
    </row>
    <row r="63">
      <c r="A63" s="33">
        <v>0.08086705522534934</v>
      </c>
      <c r="B63" s="33">
        <v>0.0</v>
      </c>
      <c r="C63" s="33">
        <v>0.8906178631467742</v>
      </c>
      <c r="D63" s="33">
        <v>0.8835963112661754</v>
      </c>
      <c r="E63" s="33">
        <v>0.0</v>
      </c>
      <c r="F63" s="33">
        <v>0.3576747972766685</v>
      </c>
      <c r="G63" s="33">
        <v>0.0</v>
      </c>
      <c r="H63" s="33">
        <v>-0.6553862969955403</v>
      </c>
      <c r="I63" s="33">
        <f t="shared" si="34"/>
        <v>1.55736973</v>
      </c>
      <c r="J63" s="33">
        <f t="shared" si="35"/>
        <v>0.8259756023</v>
      </c>
      <c r="K63" s="33">
        <f>J63^I$4 * (1-J63)^(1 - I$4)</f>
        <v>0.8259756023</v>
      </c>
      <c r="L63" s="33">
        <f>I$4*log(J63)+(1-I$4)*log(1-J63)</f>
        <v>-0.08303278069</v>
      </c>
      <c r="M63" s="33">
        <v>-0.17402439769230882</v>
      </c>
      <c r="N63" s="33">
        <v>-0.13051829826923161</v>
      </c>
      <c r="O63" s="33">
        <v>0.0</v>
      </c>
      <c r="P63" s="33">
        <v>-0.17402439769230882</v>
      </c>
      <c r="Q63" s="33">
        <v>-0.17402439769230882</v>
      </c>
      <c r="R63" s="33">
        <v>0.0</v>
      </c>
      <c r="S63" s="33">
        <v>-0.1491637694505504</v>
      </c>
      <c r="T63" s="33">
        <v>0.0</v>
      </c>
      <c r="U63" s="33">
        <v>-0.17402439769230882</v>
      </c>
    </row>
    <row r="64">
      <c r="A64" s="33">
        <v>0.10782274030046579</v>
      </c>
      <c r="B64" s="33">
        <v>-0.1077439030395904</v>
      </c>
      <c r="C64" s="33">
        <v>0.0</v>
      </c>
      <c r="D64" s="33">
        <v>0.0</v>
      </c>
      <c r="E64" s="33">
        <v>-1.8440935198429693</v>
      </c>
      <c r="F64" s="33">
        <v>0.0</v>
      </c>
      <c r="G64" s="33">
        <v>1.9716560969604098</v>
      </c>
      <c r="H64" s="33">
        <v>-0.6553862969955403</v>
      </c>
      <c r="I64" s="33">
        <f t="shared" si="34"/>
        <v>-0.5277448826</v>
      </c>
      <c r="J64" s="33">
        <f t="shared" si="35"/>
        <v>0.3710430118</v>
      </c>
      <c r="K64" s="33">
        <f>J64^I$5 * (1-J64)^(1 - I$5)</f>
        <v>0.6289569882</v>
      </c>
      <c r="L64" s="33">
        <f>I$5*log(J64)+(1-I$5)*log(1-J64)</f>
        <v>-0.2013790531</v>
      </c>
      <c r="M64" s="33">
        <v>0.37104301176421045</v>
      </c>
      <c r="N64" s="33">
        <v>0.37104301176421045</v>
      </c>
      <c r="O64" s="33">
        <v>0.37104301176421045</v>
      </c>
      <c r="P64" s="33">
        <v>0.0</v>
      </c>
      <c r="Q64" s="33">
        <v>0.0</v>
      </c>
      <c r="R64" s="33">
        <v>0.37104301176421045</v>
      </c>
      <c r="S64" s="33">
        <v>0.0</v>
      </c>
      <c r="T64" s="33">
        <v>0.37104301176421045</v>
      </c>
      <c r="U64" s="33">
        <v>0.37104301176421045</v>
      </c>
    </row>
    <row r="65">
      <c r="A65" s="33">
        <v>0.053911370150232896</v>
      </c>
      <c r="B65" s="33">
        <v>-0.1077439030395904</v>
      </c>
      <c r="C65" s="33">
        <v>0.5343707178880645</v>
      </c>
      <c r="D65" s="33">
        <v>0.5890642075107836</v>
      </c>
      <c r="E65" s="33">
        <v>-0.46102337996074233</v>
      </c>
      <c r="F65" s="33">
        <v>0.4172872634894466</v>
      </c>
      <c r="G65" s="33">
        <v>1.9716560969604098</v>
      </c>
      <c r="H65" s="33">
        <v>-0.6553862969955403</v>
      </c>
      <c r="I65" s="33">
        <f t="shared" si="34"/>
        <v>2.342136076</v>
      </c>
      <c r="J65" s="33">
        <f t="shared" si="35"/>
        <v>0.9123071279</v>
      </c>
      <c r="K65" s="33">
        <f>J65^I$6 * (1-J65)^(1 - I$6)</f>
        <v>0.9123071279</v>
      </c>
      <c r="L65" s="33">
        <f>I$6*log(J65)+(1-I$6)*log(1-J65)</f>
        <v>-0.03985893197</v>
      </c>
      <c r="M65" s="33">
        <v>-0.087692872123457</v>
      </c>
      <c r="N65" s="33">
        <v>-0.0438464360617285</v>
      </c>
      <c r="O65" s="33">
        <v>-0.087692872123457</v>
      </c>
      <c r="P65" s="33">
        <v>-0.0526157232740742</v>
      </c>
      <c r="Q65" s="33">
        <v>-0.05846191474897133</v>
      </c>
      <c r="R65" s="33">
        <v>-0.02192321803086425</v>
      </c>
      <c r="S65" s="33">
        <v>-0.087692872123457</v>
      </c>
      <c r="T65" s="33">
        <v>-0.087692872123457</v>
      </c>
      <c r="U65" s="33">
        <v>-0.087692872123457</v>
      </c>
    </row>
    <row r="66">
      <c r="A66" s="33">
        <v>0.0</v>
      </c>
      <c r="B66" s="33">
        <v>0.0</v>
      </c>
      <c r="C66" s="33">
        <v>0.17812357262935485</v>
      </c>
      <c r="D66" s="33">
        <v>0.1472660518776959</v>
      </c>
      <c r="E66" s="33">
        <v>-1.383070139882227</v>
      </c>
      <c r="F66" s="33">
        <v>0.02980623310638904</v>
      </c>
      <c r="G66" s="33">
        <v>0.0</v>
      </c>
      <c r="H66" s="33">
        <v>-0.6553862969955403</v>
      </c>
      <c r="I66" s="33">
        <f t="shared" si="34"/>
        <v>-1.683260579</v>
      </c>
      <c r="J66" s="33">
        <f t="shared" si="35"/>
        <v>0.156664197</v>
      </c>
      <c r="K66" s="33">
        <f>J66^I$7 * (1-J66)^(1 - I$7)</f>
        <v>0.843335803</v>
      </c>
      <c r="L66" s="33">
        <f>I$7*log(J66)+(1-I$7)*log(1-J66)</f>
        <v>-0.07399946174</v>
      </c>
      <c r="M66" s="33">
        <v>0.15666419702132187</v>
      </c>
      <c r="N66" s="33">
        <v>0.0</v>
      </c>
      <c r="O66" s="33">
        <v>0.0</v>
      </c>
      <c r="P66" s="33">
        <v>0.03133283940426437</v>
      </c>
      <c r="Q66" s="33">
        <v>0.026110699503553644</v>
      </c>
      <c r="R66" s="33">
        <v>0.1174981477659914</v>
      </c>
      <c r="S66" s="33">
        <v>0.011190299787237276</v>
      </c>
      <c r="T66" s="33">
        <v>0.0</v>
      </c>
      <c r="U66" s="33">
        <v>0.15666419702132187</v>
      </c>
    </row>
    <row r="67">
      <c r="L67" s="21" t="s">
        <v>38</v>
      </c>
      <c r="M67" s="33">
        <f t="array" ref="M67">SQRT(AVERAGE(M62:M66^2))</f>
        <v>0.2323946935</v>
      </c>
      <c r="N67" s="33">
        <f t="shared" ref="N67:U67" si="36">AVERAGE(N62:N66)</f>
        <v>0.02612152009</v>
      </c>
      <c r="O67" s="33">
        <f t="shared" si="36"/>
        <v>0.00381348634</v>
      </c>
      <c r="P67" s="33">
        <f t="shared" si="36"/>
        <v>-0.06020407295</v>
      </c>
      <c r="Q67" s="33">
        <f t="shared" si="36"/>
        <v>-0.05889396978</v>
      </c>
      <c r="R67" s="33">
        <f t="shared" si="36"/>
        <v>0.06689531751</v>
      </c>
      <c r="S67" s="33">
        <f t="shared" si="36"/>
        <v>-0.05268420287</v>
      </c>
      <c r="T67" s="33">
        <f t="shared" si="36"/>
        <v>0.00381348634</v>
      </c>
      <c r="U67" s="33">
        <f t="shared" si="36"/>
        <v>0.0003414462062</v>
      </c>
    </row>
    <row r="68">
      <c r="A68" s="21">
        <f t="shared" ref="A68:H68" si="37">A61-N67*$B$8</f>
        <v>0.08170122021</v>
      </c>
      <c r="B68" s="21">
        <f t="shared" si="37"/>
        <v>-0.1115573894</v>
      </c>
      <c r="C68" s="21">
        <f t="shared" si="37"/>
        <v>0.9508219361</v>
      </c>
      <c r="D68" s="21">
        <f t="shared" si="37"/>
        <v>0.942490281</v>
      </c>
      <c r="E68" s="21">
        <f t="shared" si="37"/>
        <v>-1.910988837</v>
      </c>
      <c r="F68" s="21">
        <f t="shared" si="37"/>
        <v>0.4699714664</v>
      </c>
      <c r="G68" s="21">
        <f t="shared" si="37"/>
        <v>1.967842611</v>
      </c>
      <c r="H68" s="21">
        <f t="shared" si="37"/>
        <v>-0.6557277432</v>
      </c>
      <c r="I68" s="21" t="s">
        <v>35</v>
      </c>
      <c r="J68" s="21" t="s">
        <v>36</v>
      </c>
      <c r="K68" s="21" t="s">
        <v>39</v>
      </c>
      <c r="L68" s="21" t="s">
        <v>40</v>
      </c>
      <c r="M68" s="28" t="s">
        <v>37</v>
      </c>
      <c r="N68" s="31" t="s">
        <v>0</v>
      </c>
      <c r="O68" s="32" t="s">
        <v>1</v>
      </c>
      <c r="P68" s="32" t="s">
        <v>2</v>
      </c>
      <c r="Q68" s="32" t="s">
        <v>3</v>
      </c>
      <c r="R68" s="32" t="s">
        <v>4</v>
      </c>
      <c r="S68" s="32" t="s">
        <v>5</v>
      </c>
      <c r="T68" s="32" t="s">
        <v>6</v>
      </c>
      <c r="U68" s="32" t="s">
        <v>16</v>
      </c>
    </row>
    <row r="69">
      <c r="A69" s="33">
        <f t="array" ref="A69:A73">A$3:A$7*A68</f>
        <v>0.02042530505</v>
      </c>
      <c r="B69" s="33">
        <f t="array" ref="B69:B73">B$3:B$7*B68</f>
        <v>-0.1115573894</v>
      </c>
      <c r="C69" s="33">
        <f t="array" ref="C69:C73">C$3:C$7*C68</f>
        <v>0.3803287744</v>
      </c>
      <c r="D69" s="33">
        <f t="array" ref="D69:D73">D$3:D$7*D68</f>
        <v>0.314163427</v>
      </c>
      <c r="E69" s="33">
        <f t="array" ref="E69:E73">E$3:E$7*E68</f>
        <v>-0.9554944187</v>
      </c>
      <c r="F69" s="33">
        <f t="array" ref="F69:F73">F$3:F$7*F68</f>
        <v>0.06713878091</v>
      </c>
      <c r="G69" s="33">
        <f t="array" ref="G69:G73">G$3:G$7*G68</f>
        <v>1.967842611</v>
      </c>
      <c r="H69" s="33">
        <f t="array" ref="H69:H73">H$3:H$7*H68</f>
        <v>-0.6557277432</v>
      </c>
      <c r="I69" s="33">
        <f t="shared" ref="I69:I73" si="38">SUM(A69:H69)</f>
        <v>1.027119347</v>
      </c>
      <c r="J69" s="33">
        <f t="shared" ref="J69:J73" si="39">1/(1 + EXP(-I69))</f>
        <v>0.7363570401</v>
      </c>
      <c r="K69" s="33">
        <f>J69^I$3 * (1-J69)^(1 - I$3)</f>
        <v>0.7363570401</v>
      </c>
      <c r="L69" s="33">
        <f>I$3*log(J69)+(1-I$3)*log(1-J69)</f>
        <v>-0.1329115567</v>
      </c>
      <c r="M69" s="33">
        <f t="array" ref="M69:M73">J69:J73-I$3:I$7</f>
        <v>-0.2636429599</v>
      </c>
      <c r="N69" s="33">
        <f t="array" ref="N69:N73">$M69:$M73*A$3:A$7</f>
        <v>-0.06591073997</v>
      </c>
      <c r="O69" s="33">
        <f t="array" ref="O69:O73">$M69:$M73*B$3:B$7</f>
        <v>-0.2636429599</v>
      </c>
      <c r="P69" s="33">
        <f t="array" ref="P69:P73">$M69:$M73*C$3:C$7</f>
        <v>-0.105457184</v>
      </c>
      <c r="Q69" s="33">
        <f t="array" ref="Q69:Q73">$M69:$M73*D$3:D$7</f>
        <v>-0.08788098663</v>
      </c>
      <c r="R69" s="33">
        <f t="array" ref="R69:R73">$M69:$M73*E$3:E$7</f>
        <v>-0.1318214799</v>
      </c>
      <c r="S69" s="33">
        <f t="array" ref="S69:S73">$M69:$M73*F$3:F$7</f>
        <v>-0.03766327999</v>
      </c>
      <c r="T69" s="33">
        <f t="array" ref="T69:T73">$M69:$M73*G$3:G$7</f>
        <v>-0.2636429599</v>
      </c>
      <c r="U69" s="33">
        <f t="array" ref="U69:U73">$M69:$M73*H$3:H$7</f>
        <v>-0.2636429599</v>
      </c>
    </row>
    <row r="70">
      <c r="A70" s="33">
        <v>0.0612759151580628</v>
      </c>
      <c r="B70" s="33">
        <v>0.0</v>
      </c>
      <c r="C70" s="33">
        <v>0.9508219360942933</v>
      </c>
      <c r="D70" s="33">
        <v>0.9424902810496336</v>
      </c>
      <c r="E70" s="33">
        <v>0.0</v>
      </c>
      <c r="F70" s="33">
        <v>0.4028326854508583</v>
      </c>
      <c r="G70" s="33">
        <v>0.0</v>
      </c>
      <c r="H70" s="33">
        <v>-0.655727743201755</v>
      </c>
      <c r="I70" s="33">
        <f t="shared" si="38"/>
        <v>1.701693075</v>
      </c>
      <c r="J70" s="33">
        <f t="shared" si="39"/>
        <v>0.8457557308</v>
      </c>
      <c r="K70" s="33">
        <f>J70^I$4 * (1-J70)^(1 - I$4)</f>
        <v>0.8457557308</v>
      </c>
      <c r="L70" s="33">
        <f>I$4*log(J70)+(1-I$4)*log(1-J70)</f>
        <v>-0.07275505075</v>
      </c>
      <c r="M70" s="33">
        <v>-0.15424426915607836</v>
      </c>
      <c r="N70" s="33">
        <v>-0.11568320186705877</v>
      </c>
      <c r="O70" s="33">
        <v>0.0</v>
      </c>
      <c r="P70" s="33">
        <v>-0.15424426915607836</v>
      </c>
      <c r="Q70" s="33">
        <v>-0.15424426915607836</v>
      </c>
      <c r="R70" s="33">
        <v>0.0</v>
      </c>
      <c r="S70" s="33">
        <v>-0.13220937356235288</v>
      </c>
      <c r="T70" s="33">
        <v>0.0</v>
      </c>
      <c r="U70" s="33">
        <v>-0.15424426915607836</v>
      </c>
    </row>
    <row r="71">
      <c r="A71" s="33">
        <v>0.0817012202107504</v>
      </c>
      <c r="B71" s="33">
        <v>-0.11155738938000243</v>
      </c>
      <c r="C71" s="33">
        <v>0.0</v>
      </c>
      <c r="D71" s="33">
        <v>0.0</v>
      </c>
      <c r="E71" s="33">
        <v>-1.9109888373489674</v>
      </c>
      <c r="F71" s="33">
        <v>0.0</v>
      </c>
      <c r="G71" s="33">
        <v>1.9678426106199978</v>
      </c>
      <c r="H71" s="33">
        <v>-0.655727743201755</v>
      </c>
      <c r="I71" s="33">
        <f t="shared" si="38"/>
        <v>-0.6287301391</v>
      </c>
      <c r="J71" s="33">
        <f t="shared" si="39"/>
        <v>0.3477985306</v>
      </c>
      <c r="K71" s="33">
        <f>J71^I$5 * (1-J71)^(1 - I$5)</f>
        <v>0.6522014694</v>
      </c>
      <c r="L71" s="33">
        <f>I$5*log(J71)+(1-I$5)*log(1-J71)</f>
        <v>-0.1856182271</v>
      </c>
      <c r="M71" s="33">
        <v>0.34779853063928545</v>
      </c>
      <c r="N71" s="33">
        <v>0.34779853063928545</v>
      </c>
      <c r="O71" s="33">
        <v>0.34779853063928545</v>
      </c>
      <c r="P71" s="33">
        <v>0.0</v>
      </c>
      <c r="Q71" s="33">
        <v>0.0</v>
      </c>
      <c r="R71" s="33">
        <v>0.34779853063928545</v>
      </c>
      <c r="S71" s="33">
        <v>0.0</v>
      </c>
      <c r="T71" s="33">
        <v>0.34779853063928545</v>
      </c>
      <c r="U71" s="33">
        <v>0.34779853063928545</v>
      </c>
    </row>
    <row r="72">
      <c r="A72" s="33">
        <v>0.0408506101053752</v>
      </c>
      <c r="B72" s="33">
        <v>-0.11155738938000243</v>
      </c>
      <c r="C72" s="33">
        <v>0.5704931616565759</v>
      </c>
      <c r="D72" s="33">
        <v>0.6283268540330891</v>
      </c>
      <c r="E72" s="33">
        <v>-0.47774720933724185</v>
      </c>
      <c r="F72" s="33">
        <v>0.46997146635933473</v>
      </c>
      <c r="G72" s="33">
        <v>1.9678426106199978</v>
      </c>
      <c r="H72" s="33">
        <v>-0.655727743201755</v>
      </c>
      <c r="I72" s="33">
        <f t="shared" si="38"/>
        <v>2.432452361</v>
      </c>
      <c r="J72" s="33">
        <f t="shared" si="39"/>
        <v>0.9192687189</v>
      </c>
      <c r="K72" s="33">
        <f>J72^I$6 * (1-J72)^(1 - I$6)</f>
        <v>0.9192687189</v>
      </c>
      <c r="L72" s="33">
        <f>I$6*log(J72)+(1-I$6)*log(1-J72)</f>
        <v>-0.03655751791</v>
      </c>
      <c r="M72" s="33">
        <v>-0.08073128110910543</v>
      </c>
      <c r="N72" s="33">
        <v>-0.04036564055455272</v>
      </c>
      <c r="O72" s="33">
        <v>-0.08073128110910543</v>
      </c>
      <c r="P72" s="33">
        <v>-0.04843876866546326</v>
      </c>
      <c r="Q72" s="33">
        <v>-0.05382085407273696</v>
      </c>
      <c r="R72" s="33">
        <v>-0.02018282027727636</v>
      </c>
      <c r="S72" s="33">
        <v>-0.08073128110910543</v>
      </c>
      <c r="T72" s="33">
        <v>-0.08073128110910543</v>
      </c>
      <c r="U72" s="33">
        <v>-0.08073128110910543</v>
      </c>
    </row>
    <row r="73">
      <c r="A73" s="33">
        <v>0.0</v>
      </c>
      <c r="B73" s="33">
        <v>0.0</v>
      </c>
      <c r="C73" s="33">
        <v>0.19016438721885867</v>
      </c>
      <c r="D73" s="33">
        <v>0.15708171350827227</v>
      </c>
      <c r="E73" s="33">
        <v>-1.4332416280117255</v>
      </c>
      <c r="F73" s="33">
        <v>0.03356939045423819</v>
      </c>
      <c r="G73" s="33">
        <v>0.0</v>
      </c>
      <c r="H73" s="33">
        <v>-0.655727743201755</v>
      </c>
      <c r="I73" s="33">
        <f t="shared" si="38"/>
        <v>-1.70815388</v>
      </c>
      <c r="J73" s="33">
        <f t="shared" si="39"/>
        <v>0.1534033194</v>
      </c>
      <c r="K73" s="33">
        <f>J73^I$7 * (1-J73)^(1 - I$7)</f>
        <v>0.8465966806</v>
      </c>
      <c r="L73" s="33">
        <f>I$7*log(J73)+(1-I$7)*log(1-J73)</f>
        <v>-0.07232343865</v>
      </c>
      <c r="M73" s="33">
        <v>0.15340331935264953</v>
      </c>
      <c r="N73" s="33">
        <v>0.0</v>
      </c>
      <c r="O73" s="33">
        <v>0.0</v>
      </c>
      <c r="P73" s="33">
        <v>0.03068066387052991</v>
      </c>
      <c r="Q73" s="33">
        <v>0.025567219892108254</v>
      </c>
      <c r="R73" s="33">
        <v>0.11505248951448716</v>
      </c>
      <c r="S73" s="33">
        <v>0.01095737995376068</v>
      </c>
      <c r="T73" s="33">
        <v>0.0</v>
      </c>
      <c r="U73" s="33">
        <v>0.15340331935264953</v>
      </c>
    </row>
    <row r="74">
      <c r="L74" s="21" t="s">
        <v>38</v>
      </c>
      <c r="M74" s="33">
        <f t="array" ref="M74">SQRT(AVERAGE(M69:M73^2))</f>
        <v>0.2210487914</v>
      </c>
      <c r="N74" s="33">
        <f t="shared" ref="N74:U74" si="40">AVERAGE(N69:N73)</f>
        <v>0.02516778965</v>
      </c>
      <c r="O74" s="33">
        <f t="shared" si="40"/>
        <v>0.0006848579268</v>
      </c>
      <c r="P74" s="33">
        <f t="shared" si="40"/>
        <v>-0.05549191158</v>
      </c>
      <c r="Q74" s="33">
        <f t="shared" si="40"/>
        <v>-0.05407577799</v>
      </c>
      <c r="R74" s="33">
        <f t="shared" si="40"/>
        <v>0.06216934399</v>
      </c>
      <c r="S74" s="33">
        <f t="shared" si="40"/>
        <v>-0.04792931094</v>
      </c>
      <c r="T74" s="33">
        <f t="shared" si="40"/>
        <v>0.0006848579268</v>
      </c>
      <c r="U74" s="33">
        <f t="shared" si="40"/>
        <v>0.0005166679661</v>
      </c>
    </row>
    <row r="75">
      <c r="A75" s="21">
        <f t="shared" ref="A75:H75" si="41">A68-N74*$B$8</f>
        <v>0.05653343056</v>
      </c>
      <c r="B75" s="21">
        <f t="shared" si="41"/>
        <v>-0.1122422473</v>
      </c>
      <c r="C75" s="21">
        <f t="shared" si="41"/>
        <v>1.006313848</v>
      </c>
      <c r="D75" s="21">
        <f t="shared" si="41"/>
        <v>0.996566059</v>
      </c>
      <c r="E75" s="21">
        <f t="shared" si="41"/>
        <v>-1.973158181</v>
      </c>
      <c r="F75" s="21">
        <f t="shared" si="41"/>
        <v>0.5179007773</v>
      </c>
      <c r="G75" s="21">
        <f t="shared" si="41"/>
        <v>1.967157753</v>
      </c>
      <c r="H75" s="21">
        <f t="shared" si="41"/>
        <v>-0.6562444112</v>
      </c>
      <c r="I75" s="21" t="s">
        <v>35</v>
      </c>
      <c r="J75" s="21" t="s">
        <v>36</v>
      </c>
      <c r="K75" s="21" t="s">
        <v>39</v>
      </c>
      <c r="L75" s="21" t="s">
        <v>40</v>
      </c>
      <c r="M75" s="28" t="s">
        <v>37</v>
      </c>
      <c r="N75" s="31" t="s">
        <v>0</v>
      </c>
      <c r="O75" s="32" t="s">
        <v>1</v>
      </c>
      <c r="P75" s="32" t="s">
        <v>2</v>
      </c>
      <c r="Q75" s="32" t="s">
        <v>3</v>
      </c>
      <c r="R75" s="32" t="s">
        <v>4</v>
      </c>
      <c r="S75" s="32" t="s">
        <v>5</v>
      </c>
      <c r="T75" s="32" t="s">
        <v>6</v>
      </c>
      <c r="U75" s="32" t="s">
        <v>16</v>
      </c>
    </row>
    <row r="76">
      <c r="A76" s="33">
        <f t="array" ref="A76:A80">A$3:A$7*A75</f>
        <v>0.01413335764</v>
      </c>
      <c r="B76" s="33">
        <f t="array" ref="B76:B80">B$3:B$7*B75</f>
        <v>-0.1122422473</v>
      </c>
      <c r="C76" s="33">
        <f t="array" ref="C76:C80">C$3:C$7*C75</f>
        <v>0.4025255391</v>
      </c>
      <c r="D76" s="33">
        <f t="array" ref="D76:D80">D$3:D$7*D75</f>
        <v>0.3321886863</v>
      </c>
      <c r="E76" s="33">
        <f t="array" ref="E76:E80">E$3:E$7*E75</f>
        <v>-0.9865790907</v>
      </c>
      <c r="F76" s="33">
        <f t="array" ref="F76:F80">F$3:F$7*F75</f>
        <v>0.07398582533</v>
      </c>
      <c r="G76" s="33">
        <f t="array" ref="G76:G80">G$3:G$7*G75</f>
        <v>1.967157753</v>
      </c>
      <c r="H76" s="33">
        <f t="array" ref="H76:H80">H$3:H$7*H75</f>
        <v>-0.6562444112</v>
      </c>
      <c r="I76" s="33">
        <f t="shared" ref="I76:I80" si="42">SUM(A76:H76)</f>
        <v>1.034925412</v>
      </c>
      <c r="J76" s="33">
        <f t="shared" ref="J76:J80" si="43">1/(1 + EXP(-I76))</f>
        <v>0.7378696748</v>
      </c>
      <c r="K76" s="33">
        <f>J76^I$3 * (1-J76)^(1 - I$3)</f>
        <v>0.7378696748</v>
      </c>
      <c r="L76" s="33">
        <f>I$3*log(J76)+(1-I$3)*log(1-J76)</f>
        <v>-0.1320203381</v>
      </c>
      <c r="M76" s="33">
        <f t="array" ref="M76:M80">J76:J80-I$3:I$7</f>
        <v>-0.2621303252</v>
      </c>
      <c r="N76" s="33">
        <f t="array" ref="N76:N80">$M76:$M80*A$3:A$7</f>
        <v>-0.06553258131</v>
      </c>
      <c r="O76" s="33">
        <f t="array" ref="O76:O80">$M76:$M80*B$3:B$7</f>
        <v>-0.2621303252</v>
      </c>
      <c r="P76" s="33">
        <f t="array" ref="P76:P80">$M76:$M80*C$3:C$7</f>
        <v>-0.1048521301</v>
      </c>
      <c r="Q76" s="33">
        <f t="array" ref="Q76:Q80">$M76:$M80*D$3:D$7</f>
        <v>-0.08737677508</v>
      </c>
      <c r="R76" s="33">
        <f t="array" ref="R76:R80">$M76:$M80*E$3:E$7</f>
        <v>-0.1310651626</v>
      </c>
      <c r="S76" s="33">
        <f t="array" ref="S76:S80">$M76:$M80*F$3:F$7</f>
        <v>-0.03744718932</v>
      </c>
      <c r="T76" s="33">
        <f t="array" ref="T76:T80">$M76:$M80*G$3:G$7</f>
        <v>-0.2621303252</v>
      </c>
      <c r="U76" s="33">
        <f t="array" ref="U76:U80">$M76:$M80*H$3:H$7</f>
        <v>-0.2621303252</v>
      </c>
    </row>
    <row r="77">
      <c r="A77" s="33">
        <v>0.04240007292151922</v>
      </c>
      <c r="B77" s="33">
        <v>0.0</v>
      </c>
      <c r="C77" s="33">
        <v>1.0063138476761917</v>
      </c>
      <c r="D77" s="33">
        <v>0.9965660590433884</v>
      </c>
      <c r="E77" s="33">
        <v>0.0</v>
      </c>
      <c r="F77" s="33">
        <v>0.44391495197135017</v>
      </c>
      <c r="G77" s="33">
        <v>0.0</v>
      </c>
      <c r="H77" s="33">
        <v>-0.6562444111678651</v>
      </c>
      <c r="I77" s="33">
        <f t="shared" si="42"/>
        <v>1.83295052</v>
      </c>
      <c r="J77" s="33">
        <f t="shared" si="43"/>
        <v>0.8621128427</v>
      </c>
      <c r="K77" s="33">
        <f>J77^I$4 * (1-J77)^(1 - I$4)</f>
        <v>0.8621128427</v>
      </c>
      <c r="L77" s="33">
        <f>I$4*log(J77)+(1-I$4)*log(1-J77)</f>
        <v>-0.06443588526</v>
      </c>
      <c r="M77" s="33">
        <v>-0.13788715726708067</v>
      </c>
      <c r="N77" s="33">
        <v>-0.1034153679503105</v>
      </c>
      <c r="O77" s="33">
        <v>0.0</v>
      </c>
      <c r="P77" s="33">
        <v>-0.13788715726708067</v>
      </c>
      <c r="Q77" s="33">
        <v>-0.13788715726708067</v>
      </c>
      <c r="R77" s="33">
        <v>0.0</v>
      </c>
      <c r="S77" s="33">
        <v>-0.118188991943212</v>
      </c>
      <c r="T77" s="33">
        <v>0.0</v>
      </c>
      <c r="U77" s="33">
        <v>-0.13788715726708067</v>
      </c>
    </row>
    <row r="78">
      <c r="A78" s="33">
        <v>0.05653343056202563</v>
      </c>
      <c r="B78" s="33">
        <v>-0.11224224730679831</v>
      </c>
      <c r="C78" s="33">
        <v>0.0</v>
      </c>
      <c r="D78" s="33">
        <v>0.0</v>
      </c>
      <c r="E78" s="33">
        <v>-1.9731581813346466</v>
      </c>
      <c r="F78" s="33">
        <v>0.0</v>
      </c>
      <c r="G78" s="33">
        <v>1.9671577526932018</v>
      </c>
      <c r="H78" s="33">
        <v>-0.6562444111678651</v>
      </c>
      <c r="I78" s="33">
        <f t="shared" si="42"/>
        <v>-0.7179536566</v>
      </c>
      <c r="J78" s="33">
        <f t="shared" si="43"/>
        <v>0.3278437608</v>
      </c>
      <c r="K78" s="33">
        <f>J78^I$5 * (1-J78)^(1 - I$5)</f>
        <v>0.6721562392</v>
      </c>
      <c r="L78" s="33">
        <f>I$5*log(J78)+(1-I$5)*log(1-J78)</f>
        <v>-0.1725297657</v>
      </c>
      <c r="M78" s="33">
        <v>0.32784376077369987</v>
      </c>
      <c r="N78" s="33">
        <v>0.32784376077369987</v>
      </c>
      <c r="O78" s="33">
        <v>0.32784376077369987</v>
      </c>
      <c r="P78" s="33">
        <v>0.0</v>
      </c>
      <c r="Q78" s="33">
        <v>0.0</v>
      </c>
      <c r="R78" s="33">
        <v>0.32784376077369987</v>
      </c>
      <c r="S78" s="33">
        <v>0.0</v>
      </c>
      <c r="T78" s="33">
        <v>0.32784376077369987</v>
      </c>
      <c r="U78" s="33">
        <v>0.32784376077369987</v>
      </c>
    </row>
    <row r="79">
      <c r="A79" s="33">
        <v>0.028266715281012815</v>
      </c>
      <c r="B79" s="33">
        <v>-0.11224224730679831</v>
      </c>
      <c r="C79" s="33">
        <v>0.603788308605715</v>
      </c>
      <c r="D79" s="33">
        <v>0.6643773726955922</v>
      </c>
      <c r="E79" s="33">
        <v>-0.49328954533366165</v>
      </c>
      <c r="F79" s="33">
        <v>0.5179007772999086</v>
      </c>
      <c r="G79" s="33">
        <v>1.9671577526932018</v>
      </c>
      <c r="H79" s="33">
        <v>-0.6562444111678651</v>
      </c>
      <c r="I79" s="33">
        <f t="shared" si="42"/>
        <v>2.519714723</v>
      </c>
      <c r="J79" s="33">
        <f t="shared" si="43"/>
        <v>0.9255123904</v>
      </c>
      <c r="K79" s="33">
        <f>J79^I$6 * (1-J79)^(1 - I$6)</f>
        <v>0.9255123904</v>
      </c>
      <c r="L79" s="33">
        <f>I$6*log(J79)+(1-I$6)*log(1-J79)</f>
        <v>-0.03361776269</v>
      </c>
      <c r="M79" s="33">
        <v>-0.0744876095646606</v>
      </c>
      <c r="N79" s="33">
        <v>-0.0372438047823303</v>
      </c>
      <c r="O79" s="33">
        <v>-0.0744876095646606</v>
      </c>
      <c r="P79" s="33">
        <v>-0.04469256573879636</v>
      </c>
      <c r="Q79" s="33">
        <v>-0.0496584063764404</v>
      </c>
      <c r="R79" s="33">
        <v>-0.01862190239116515</v>
      </c>
      <c r="S79" s="33">
        <v>-0.0744876095646606</v>
      </c>
      <c r="T79" s="33">
        <v>-0.0744876095646606</v>
      </c>
      <c r="U79" s="33">
        <v>-0.0744876095646606</v>
      </c>
    </row>
    <row r="80">
      <c r="A80" s="33">
        <v>0.0</v>
      </c>
      <c r="B80" s="33">
        <v>0.0</v>
      </c>
      <c r="C80" s="33">
        <v>0.20126276953523836</v>
      </c>
      <c r="D80" s="33">
        <v>0.16609434317389804</v>
      </c>
      <c r="E80" s="33">
        <v>-1.479868636000985</v>
      </c>
      <c r="F80" s="33">
        <v>0.03699291266427918</v>
      </c>
      <c r="G80" s="33">
        <v>0.0</v>
      </c>
      <c r="H80" s="33">
        <v>-0.6562444111678651</v>
      </c>
      <c r="I80" s="33">
        <f t="shared" si="42"/>
        <v>-1.731763022</v>
      </c>
      <c r="J80" s="33">
        <f t="shared" si="43"/>
        <v>0.1503622088</v>
      </c>
      <c r="K80" s="33">
        <f>J80^I$7 * (1-J80)^(1 - I$7)</f>
        <v>0.8496377912</v>
      </c>
      <c r="L80" s="33">
        <f>I$7*log(J80)+(1-I$7)*log(1-J80)</f>
        <v>-0.07076617878</v>
      </c>
      <c r="M80" s="33">
        <v>0.15036220882623583</v>
      </c>
      <c r="N80" s="33">
        <v>0.0</v>
      </c>
      <c r="O80" s="33">
        <v>0.0</v>
      </c>
      <c r="P80" s="33">
        <v>0.030072441765247166</v>
      </c>
      <c r="Q80" s="33">
        <v>0.02506036813770597</v>
      </c>
      <c r="R80" s="33">
        <v>0.11277165661967686</v>
      </c>
      <c r="S80" s="33">
        <v>0.01074015777330256</v>
      </c>
      <c r="T80" s="33">
        <v>0.0</v>
      </c>
      <c r="U80" s="33">
        <v>0.15036220882623583</v>
      </c>
    </row>
    <row r="81">
      <c r="L81" s="21" t="s">
        <v>38</v>
      </c>
      <c r="M81" s="33">
        <f t="array" ref="M81">SQRT(AVERAGE(M76:M80^2))</f>
        <v>0.2113593645</v>
      </c>
      <c r="N81" s="33">
        <f t="shared" ref="N81:U81" si="44">AVERAGE(N76:N80)</f>
        <v>0.02433040135</v>
      </c>
      <c r="O81" s="33">
        <f t="shared" si="44"/>
        <v>-0.001754834804</v>
      </c>
      <c r="P81" s="33">
        <f t="shared" si="44"/>
        <v>-0.05147188227</v>
      </c>
      <c r="Q81" s="33">
        <f t="shared" si="44"/>
        <v>-0.04997239412</v>
      </c>
      <c r="R81" s="33">
        <f t="shared" si="44"/>
        <v>0.05818567048</v>
      </c>
      <c r="S81" s="33">
        <f t="shared" si="44"/>
        <v>-0.04387672661</v>
      </c>
      <c r="T81" s="33">
        <f t="shared" si="44"/>
        <v>-0.001754834804</v>
      </c>
      <c r="U81" s="33">
        <f t="shared" si="44"/>
        <v>0.0007401755082</v>
      </c>
    </row>
    <row r="82">
      <c r="A82" s="21">
        <f t="shared" ref="A82:H82" si="45">A75-N81*$B$8</f>
        <v>0.03220302922</v>
      </c>
      <c r="B82" s="21">
        <f t="shared" si="45"/>
        <v>-0.1104874125</v>
      </c>
      <c r="C82" s="21">
        <f t="shared" si="45"/>
        <v>1.05778573</v>
      </c>
      <c r="D82" s="21">
        <f t="shared" si="45"/>
        <v>1.046538453</v>
      </c>
      <c r="E82" s="21">
        <f t="shared" si="45"/>
        <v>-2.031343852</v>
      </c>
      <c r="F82" s="21">
        <f t="shared" si="45"/>
        <v>0.5617775039</v>
      </c>
      <c r="G82" s="21">
        <f t="shared" si="45"/>
        <v>1.968912587</v>
      </c>
      <c r="H82" s="21">
        <f t="shared" si="45"/>
        <v>-0.6569845867</v>
      </c>
      <c r="I82" s="21" t="s">
        <v>35</v>
      </c>
      <c r="J82" s="21" t="s">
        <v>36</v>
      </c>
      <c r="K82" s="21" t="s">
        <v>39</v>
      </c>
      <c r="L82" s="21" t="s">
        <v>40</v>
      </c>
      <c r="M82" s="28" t="s">
        <v>37</v>
      </c>
      <c r="N82" s="31" t="s">
        <v>0</v>
      </c>
      <c r="O82" s="32" t="s">
        <v>1</v>
      </c>
      <c r="P82" s="32" t="s">
        <v>2</v>
      </c>
      <c r="Q82" s="32" t="s">
        <v>3</v>
      </c>
      <c r="R82" s="32" t="s">
        <v>4</v>
      </c>
      <c r="S82" s="32" t="s">
        <v>5</v>
      </c>
      <c r="T82" s="32" t="s">
        <v>6</v>
      </c>
      <c r="U82" s="32" t="s">
        <v>16</v>
      </c>
    </row>
    <row r="83">
      <c r="A83" s="33">
        <f t="array" ref="A83:A87">A$3:A$7*A82</f>
        <v>0.008050757304</v>
      </c>
      <c r="B83" s="33">
        <f t="array" ref="B83:B87">B$3:B$7*B82</f>
        <v>-0.1104874125</v>
      </c>
      <c r="C83" s="33">
        <f t="array" ref="C83:C87">C$3:C$7*C82</f>
        <v>0.423114292</v>
      </c>
      <c r="D83" s="33">
        <f t="array" ref="D83:D87">D$3:D$7*D82</f>
        <v>0.3488461511</v>
      </c>
      <c r="E83" s="33">
        <f t="array" ref="E83:E87">E$3:E$7*E82</f>
        <v>-1.015671926</v>
      </c>
      <c r="F83" s="33">
        <f t="array" ref="F83:F87">F$3:F$7*F82</f>
        <v>0.08025392913</v>
      </c>
      <c r="G83" s="33">
        <f t="array" ref="G83:G87">G$3:G$7*G82</f>
        <v>1.968912587</v>
      </c>
      <c r="H83" s="33">
        <f t="array" ref="H83:H87">H$3:H$7*H82</f>
        <v>-0.6569845867</v>
      </c>
      <c r="I83" s="33">
        <f t="shared" ref="I83:I87" si="46">SUM(A83:H83)</f>
        <v>1.046033792</v>
      </c>
      <c r="J83" s="33">
        <f t="shared" ref="J83:J87" si="47">1/(1 + EXP(-I83))</f>
        <v>0.7400125513</v>
      </c>
      <c r="K83" s="33">
        <f>J83^I$3 * (1-J83)^(1 - I$3)</f>
        <v>0.7400125513</v>
      </c>
      <c r="L83" s="33">
        <f>I$3*log(J83)+(1-I$3)*log(1-J83)</f>
        <v>-0.1307609141</v>
      </c>
      <c r="M83" s="33">
        <f t="array" ref="M83:M87">J83:J87-I$3:I$7</f>
        <v>-0.2599874487</v>
      </c>
      <c r="N83" s="33">
        <f t="array" ref="N83:N87">$M83:$M87*A$3:A$7</f>
        <v>-0.06499686216</v>
      </c>
      <c r="O83" s="33">
        <f t="array" ref="O83:O87">$M83:$M87*B$3:B$7</f>
        <v>-0.2599874487</v>
      </c>
      <c r="P83" s="33">
        <f t="array" ref="P83:P87">$M83:$M87*C$3:C$7</f>
        <v>-0.1039949795</v>
      </c>
      <c r="Q83" s="33">
        <f t="array" ref="Q83:Q87">$M83:$M87*D$3:D$7</f>
        <v>-0.08666248289</v>
      </c>
      <c r="R83" s="33">
        <f t="array" ref="R83:R87">$M83:$M87*E$3:E$7</f>
        <v>-0.1299937243</v>
      </c>
      <c r="S83" s="33">
        <f t="array" ref="S83:S87">$M83:$M87*F$3:F$7</f>
        <v>-0.03714106409</v>
      </c>
      <c r="T83" s="33">
        <f t="array" ref="T83:T87">$M83:$M87*G$3:G$7</f>
        <v>-0.2599874487</v>
      </c>
      <c r="U83" s="33">
        <f t="array" ref="U83:U87">$M83:$M87*H$3:H$7</f>
        <v>-0.2599874487</v>
      </c>
    </row>
    <row r="84">
      <c r="A84" s="33">
        <v>0.024152271911387864</v>
      </c>
      <c r="B84" s="33">
        <v>0.0</v>
      </c>
      <c r="C84" s="33">
        <v>1.0577857299425097</v>
      </c>
      <c r="D84" s="33">
        <v>1.0465384531597113</v>
      </c>
      <c r="E84" s="33">
        <v>0.0</v>
      </c>
      <c r="F84" s="33">
        <v>0.4815235747803964</v>
      </c>
      <c r="G84" s="33">
        <v>0.0</v>
      </c>
      <c r="H84" s="33">
        <v>-0.656984586676024</v>
      </c>
      <c r="I84" s="33">
        <f t="shared" si="46"/>
        <v>1.953015443</v>
      </c>
      <c r="J84" s="33">
        <f t="shared" si="47"/>
        <v>0.8757750731</v>
      </c>
      <c r="K84" s="33">
        <f>J84^I$4 * (1-J84)^(1 - I$4)</f>
        <v>0.8757750731</v>
      </c>
      <c r="L84" s="33">
        <f>I$4*log(J84)+(1-I$4)*log(1-J84)</f>
        <v>-0.05760742015</v>
      </c>
      <c r="M84" s="33">
        <v>-0.12422492689358111</v>
      </c>
      <c r="N84" s="33">
        <v>-0.09316869517018583</v>
      </c>
      <c r="O84" s="33">
        <v>0.0</v>
      </c>
      <c r="P84" s="33">
        <v>-0.12422492689358111</v>
      </c>
      <c r="Q84" s="33">
        <v>-0.12422492689358111</v>
      </c>
      <c r="R84" s="33">
        <v>0.0</v>
      </c>
      <c r="S84" s="33">
        <v>-0.10647850876592665</v>
      </c>
      <c r="T84" s="33">
        <v>0.0</v>
      </c>
      <c r="U84" s="33">
        <v>-0.12422492689358111</v>
      </c>
    </row>
    <row r="85">
      <c r="A85" s="33">
        <v>0.032203029215183816</v>
      </c>
      <c r="B85" s="33">
        <v>-0.11048741250312617</v>
      </c>
      <c r="C85" s="33">
        <v>0.0</v>
      </c>
      <c r="D85" s="33">
        <v>0.0</v>
      </c>
      <c r="E85" s="33">
        <v>-2.0313438518123488</v>
      </c>
      <c r="F85" s="33">
        <v>0.0</v>
      </c>
      <c r="G85" s="33">
        <v>1.968912587496874</v>
      </c>
      <c r="H85" s="33">
        <v>-0.656984586676024</v>
      </c>
      <c r="I85" s="33">
        <f t="shared" si="46"/>
        <v>-0.7977002343</v>
      </c>
      <c r="J85" s="33">
        <f t="shared" si="47"/>
        <v>0.3105176759</v>
      </c>
      <c r="K85" s="33">
        <f>J85^I$5 * (1-J85)^(1 - I$5)</f>
        <v>0.6894823241</v>
      </c>
      <c r="L85" s="33">
        <f>I$5*log(J85)+(1-I$5)*log(1-J85)</f>
        <v>-0.1614768631</v>
      </c>
      <c r="M85" s="33">
        <v>0.31051767586463985</v>
      </c>
      <c r="N85" s="33">
        <v>0.31051767586463985</v>
      </c>
      <c r="O85" s="33">
        <v>0.31051767586463985</v>
      </c>
      <c r="P85" s="33">
        <v>0.0</v>
      </c>
      <c r="Q85" s="33">
        <v>0.0</v>
      </c>
      <c r="R85" s="33">
        <v>0.31051767586463985</v>
      </c>
      <c r="S85" s="33">
        <v>0.0</v>
      </c>
      <c r="T85" s="33">
        <v>0.31051767586463985</v>
      </c>
      <c r="U85" s="33">
        <v>0.31051767586463985</v>
      </c>
    </row>
    <row r="86">
      <c r="A86" s="33">
        <v>0.016101514607591908</v>
      </c>
      <c r="B86" s="33">
        <v>-0.11048741250312617</v>
      </c>
      <c r="C86" s="33">
        <v>0.6346714379655058</v>
      </c>
      <c r="D86" s="33">
        <v>0.6976923021064741</v>
      </c>
      <c r="E86" s="33">
        <v>-0.5078359629530872</v>
      </c>
      <c r="F86" s="33">
        <v>0.5617775039104626</v>
      </c>
      <c r="G86" s="33">
        <v>1.968912587496874</v>
      </c>
      <c r="H86" s="33">
        <v>-0.656984586676024</v>
      </c>
      <c r="I86" s="33">
        <f t="shared" si="46"/>
        <v>2.603847384</v>
      </c>
      <c r="J86" s="33">
        <f t="shared" si="47"/>
        <v>0.9311087807</v>
      </c>
      <c r="K86" s="33">
        <f>J86^I$6 * (1-J86)^(1 - I$6)</f>
        <v>0.9311087807</v>
      </c>
      <c r="L86" s="33">
        <f>I$6*log(J86)+(1-I$6)*log(1-J86)</f>
        <v>-0.0309995778</v>
      </c>
      <c r="M86" s="33">
        <v>-0.0688912193432859</v>
      </c>
      <c r="N86" s="33">
        <v>-0.03444560967164295</v>
      </c>
      <c r="O86" s="33">
        <v>-0.0688912193432859</v>
      </c>
      <c r="P86" s="33">
        <v>-0.04133473160597154</v>
      </c>
      <c r="Q86" s="33">
        <v>-0.0459274795621906</v>
      </c>
      <c r="R86" s="33">
        <v>-0.017222804835821476</v>
      </c>
      <c r="S86" s="33">
        <v>-0.0688912193432859</v>
      </c>
      <c r="T86" s="33">
        <v>-0.0688912193432859</v>
      </c>
      <c r="U86" s="33">
        <v>-0.0688912193432859</v>
      </c>
    </row>
    <row r="87">
      <c r="A87" s="33">
        <v>0.0</v>
      </c>
      <c r="B87" s="33">
        <v>0.0</v>
      </c>
      <c r="C87" s="33">
        <v>0.21155714598850195</v>
      </c>
      <c r="D87" s="33">
        <v>0.17442307552661854</v>
      </c>
      <c r="E87" s="33">
        <v>-1.5235078888592617</v>
      </c>
      <c r="F87" s="33">
        <v>0.040126964565033035</v>
      </c>
      <c r="G87" s="33">
        <v>0.0</v>
      </c>
      <c r="H87" s="33">
        <v>-0.656984586676024</v>
      </c>
      <c r="I87" s="33">
        <f t="shared" si="46"/>
        <v>-1.754385289</v>
      </c>
      <c r="J87" s="33">
        <f t="shared" si="47"/>
        <v>0.1474949381</v>
      </c>
      <c r="K87" s="33">
        <f>J87^I$7 * (1-J87)^(1 - I$7)</f>
        <v>0.8525050619</v>
      </c>
      <c r="L87" s="33">
        <f>I$7*log(J87)+(1-I$7)*log(1-J87)</f>
        <v>-0.06930303364</v>
      </c>
      <c r="M87" s="33">
        <v>0.14749493812170572</v>
      </c>
      <c r="N87" s="33">
        <v>0.0</v>
      </c>
      <c r="O87" s="33">
        <v>0.0</v>
      </c>
      <c r="P87" s="33">
        <v>0.029498987624341146</v>
      </c>
      <c r="Q87" s="33">
        <v>0.024582489686950953</v>
      </c>
      <c r="R87" s="33">
        <v>0.11062120359127929</v>
      </c>
      <c r="S87" s="33">
        <v>0.01053535272297898</v>
      </c>
      <c r="T87" s="33">
        <v>0.0</v>
      </c>
      <c r="U87" s="33">
        <v>0.14749493812170572</v>
      </c>
    </row>
    <row r="88">
      <c r="L88" s="21" t="s">
        <v>38</v>
      </c>
      <c r="M88" s="33">
        <f t="array" ref="M88">SQRT(AVERAGE(M83:M87^2))</f>
        <v>0.2029518612</v>
      </c>
      <c r="N88" s="33">
        <f t="shared" ref="N88:U88" si="48">AVERAGE(N83:N87)</f>
        <v>0.02358130177</v>
      </c>
      <c r="O88" s="33">
        <f t="shared" si="48"/>
        <v>-0.003672198427</v>
      </c>
      <c r="P88" s="33">
        <f t="shared" si="48"/>
        <v>-0.04801113007</v>
      </c>
      <c r="Q88" s="33">
        <f t="shared" si="48"/>
        <v>-0.04644647993</v>
      </c>
      <c r="R88" s="33">
        <f t="shared" si="48"/>
        <v>0.05478447006</v>
      </c>
      <c r="S88" s="33">
        <f t="shared" si="48"/>
        <v>-0.0403950879</v>
      </c>
      <c r="T88" s="33">
        <f t="shared" si="48"/>
        <v>-0.003672198427</v>
      </c>
      <c r="U88" s="33">
        <f t="shared" si="48"/>
        <v>0.0009818038185</v>
      </c>
    </row>
    <row r="89">
      <c r="A89" s="21">
        <f t="shared" ref="A89:H89" si="49">A82-N88*$B$8</f>
        <v>0.008621727443</v>
      </c>
      <c r="B89" s="21">
        <f t="shared" si="49"/>
        <v>-0.1068152141</v>
      </c>
      <c r="C89" s="21">
        <f t="shared" si="49"/>
        <v>1.10579686</v>
      </c>
      <c r="D89" s="21">
        <f t="shared" si="49"/>
        <v>1.092984933</v>
      </c>
      <c r="E89" s="21">
        <f t="shared" si="49"/>
        <v>-2.086128322</v>
      </c>
      <c r="F89" s="21">
        <f t="shared" si="49"/>
        <v>0.6021725918</v>
      </c>
      <c r="G89" s="21">
        <f t="shared" si="49"/>
        <v>1.972584786</v>
      </c>
      <c r="H89" s="21">
        <f t="shared" si="49"/>
        <v>-0.6579663905</v>
      </c>
      <c r="I89" s="21" t="s">
        <v>35</v>
      </c>
      <c r="J89" s="21" t="s">
        <v>36</v>
      </c>
      <c r="K89" s="21" t="s">
        <v>39</v>
      </c>
      <c r="L89" s="21" t="s">
        <v>40</v>
      </c>
      <c r="M89" s="28" t="s">
        <v>37</v>
      </c>
      <c r="N89" s="31" t="s">
        <v>0</v>
      </c>
      <c r="O89" s="32" t="s">
        <v>1</v>
      </c>
      <c r="P89" s="32" t="s">
        <v>2</v>
      </c>
      <c r="Q89" s="32" t="s">
        <v>3</v>
      </c>
      <c r="R89" s="32" t="s">
        <v>4</v>
      </c>
      <c r="S89" s="32" t="s">
        <v>5</v>
      </c>
      <c r="T89" s="32" t="s">
        <v>6</v>
      </c>
      <c r="U89" s="32" t="s">
        <v>16</v>
      </c>
    </row>
    <row r="90">
      <c r="A90" s="33">
        <f t="array" ref="A90:A94">A$3:A$7*A89</f>
        <v>0.002155431861</v>
      </c>
      <c r="B90" s="33">
        <f t="array" ref="B90:B94">B$3:B$7*B89</f>
        <v>-0.1068152141</v>
      </c>
      <c r="C90" s="33">
        <f t="array" ref="C90:C94">C$3:C$7*C89</f>
        <v>0.442318744</v>
      </c>
      <c r="D90" s="33">
        <f t="array" ref="D90:D94">D$3:D$7*D89</f>
        <v>0.364328311</v>
      </c>
      <c r="E90" s="33">
        <f t="array" ref="E90:E94">E$3:E$7*E89</f>
        <v>-1.043064161</v>
      </c>
      <c r="F90" s="33">
        <f t="array" ref="F90:F94">F$3:F$7*F89</f>
        <v>0.08602465597</v>
      </c>
      <c r="G90" s="33">
        <f t="array" ref="G90:G94">G$3:G$7*G89</f>
        <v>1.972584786</v>
      </c>
      <c r="H90" s="33">
        <f t="array" ref="H90:H94">H$3:H$7*H89</f>
        <v>-0.6579663905</v>
      </c>
      <c r="I90" s="33">
        <f t="shared" ref="I90:I94" si="50">SUM(A90:H90)</f>
        <v>1.059566163</v>
      </c>
      <c r="J90" s="33">
        <f t="shared" ref="J90:J94" si="51">1/(1 + EXP(-I90))</f>
        <v>0.7426076298</v>
      </c>
      <c r="K90" s="33">
        <f>J90^I$3 * (1-J90)^(1 - I$3)</f>
        <v>0.7426076298</v>
      </c>
      <c r="L90" s="33">
        <f>I$3*log(J90)+(1-I$3)*log(1-J90)</f>
        <v>-0.129240593</v>
      </c>
      <c r="M90" s="33">
        <f t="array" ref="M90:M94">J90:J94-I$3:I$7</f>
        <v>-0.2573923702</v>
      </c>
      <c r="N90" s="33">
        <f t="array" ref="N90:N94">$M90:$M94*A$3:A$7</f>
        <v>-0.06434809255</v>
      </c>
      <c r="O90" s="33">
        <f t="array" ref="O90:O94">$M90:$M94*B$3:B$7</f>
        <v>-0.2573923702</v>
      </c>
      <c r="P90" s="33">
        <f t="array" ref="P90:P94">$M90:$M94*C$3:C$7</f>
        <v>-0.1029569481</v>
      </c>
      <c r="Q90" s="33">
        <f t="array" ref="Q90:Q94">$M90:$M94*D$3:D$7</f>
        <v>-0.08579745673</v>
      </c>
      <c r="R90" s="33">
        <f t="array" ref="R90:R94">$M90:$M94*E$3:E$7</f>
        <v>-0.1286961851</v>
      </c>
      <c r="S90" s="33">
        <f t="array" ref="S90:S94">$M90:$M94*F$3:F$7</f>
        <v>-0.0367703386</v>
      </c>
      <c r="T90" s="33">
        <f t="array" ref="T90:T94">$M90:$M94*G$3:G$7</f>
        <v>-0.2573923702</v>
      </c>
      <c r="U90" s="33">
        <f t="array" ref="U90:U94">$M90:$M94*H$3:H$7</f>
        <v>-0.2573923702</v>
      </c>
    </row>
    <row r="91">
      <c r="A91" s="33">
        <v>0.006466295582595898</v>
      </c>
      <c r="B91" s="33">
        <v>0.0</v>
      </c>
      <c r="C91" s="33">
        <v>1.1057968600100954</v>
      </c>
      <c r="D91" s="33">
        <v>1.092984933090595</v>
      </c>
      <c r="E91" s="33">
        <v>0.0</v>
      </c>
      <c r="F91" s="33">
        <v>0.5161479358341212</v>
      </c>
      <c r="G91" s="33">
        <v>0.0</v>
      </c>
      <c r="H91" s="33">
        <v>-0.6579663904945613</v>
      </c>
      <c r="I91" s="33">
        <f t="shared" si="50"/>
        <v>2.063429634</v>
      </c>
      <c r="J91" s="33">
        <f t="shared" si="51"/>
        <v>0.8872975911</v>
      </c>
      <c r="K91" s="33">
        <f>J91^I$4 * (1-J91)^(1 - I$4)</f>
        <v>0.8872975911</v>
      </c>
      <c r="L91" s="33">
        <f>I$4*log(J91)+(1-I$4)*log(1-J91)</f>
        <v>-0.05193069752</v>
      </c>
      <c r="M91" s="33">
        <v>-0.11270240886867067</v>
      </c>
      <c r="N91" s="33">
        <v>-0.084526806651503</v>
      </c>
      <c r="O91" s="33">
        <v>0.0</v>
      </c>
      <c r="P91" s="33">
        <v>-0.11270240886867067</v>
      </c>
      <c r="Q91" s="33">
        <v>-0.11270240886867067</v>
      </c>
      <c r="R91" s="33">
        <v>0.0</v>
      </c>
      <c r="S91" s="33">
        <v>-0.09660206474457485</v>
      </c>
      <c r="T91" s="33">
        <v>0.0</v>
      </c>
      <c r="U91" s="33">
        <v>-0.11270240886867067</v>
      </c>
    </row>
    <row r="92">
      <c r="A92" s="33">
        <v>0.008621727443461197</v>
      </c>
      <c r="B92" s="33">
        <v>-0.10681521407603858</v>
      </c>
      <c r="C92" s="33">
        <v>0.0</v>
      </c>
      <c r="D92" s="33">
        <v>0.0</v>
      </c>
      <c r="E92" s="33">
        <v>-2.086128321870689</v>
      </c>
      <c r="F92" s="33">
        <v>0.0</v>
      </c>
      <c r="G92" s="33">
        <v>1.9725847859239616</v>
      </c>
      <c r="H92" s="33">
        <v>-0.6579663904945613</v>
      </c>
      <c r="I92" s="33">
        <f t="shared" si="50"/>
        <v>-0.8697034131</v>
      </c>
      <c r="J92" s="33">
        <f t="shared" si="51"/>
        <v>0.2953160193</v>
      </c>
      <c r="K92" s="33">
        <f>J92^I$5 * (1-J92)^(1 - I$5)</f>
        <v>0.7046839807</v>
      </c>
      <c r="L92" s="33">
        <f>I$5*log(J92)+(1-I$5)*log(1-J92)</f>
        <v>-0.152005601</v>
      </c>
      <c r="M92" s="33">
        <v>0.2953160193193029</v>
      </c>
      <c r="N92" s="33">
        <v>0.2953160193193029</v>
      </c>
      <c r="O92" s="33">
        <v>0.2953160193193029</v>
      </c>
      <c r="P92" s="33">
        <v>0.0</v>
      </c>
      <c r="Q92" s="33">
        <v>0.0</v>
      </c>
      <c r="R92" s="33">
        <v>0.2953160193193029</v>
      </c>
      <c r="S92" s="33">
        <v>0.0</v>
      </c>
      <c r="T92" s="33">
        <v>0.2953160193193029</v>
      </c>
      <c r="U92" s="33">
        <v>0.2953160193193029</v>
      </c>
    </row>
    <row r="93">
      <c r="A93" s="33">
        <v>0.004310863721730599</v>
      </c>
      <c r="B93" s="33">
        <v>-0.10681521407603858</v>
      </c>
      <c r="C93" s="33">
        <v>0.6634781160060572</v>
      </c>
      <c r="D93" s="33">
        <v>0.7286566220603966</v>
      </c>
      <c r="E93" s="33">
        <v>-0.5215320804676723</v>
      </c>
      <c r="F93" s="33">
        <v>0.6021725918064748</v>
      </c>
      <c r="G93" s="33">
        <v>1.9725847859239616</v>
      </c>
      <c r="H93" s="33">
        <v>-0.6579663904945613</v>
      </c>
      <c r="I93" s="33">
        <f t="shared" si="50"/>
        <v>2.684889294</v>
      </c>
      <c r="J93" s="33">
        <f t="shared" si="51"/>
        <v>0.9361290856</v>
      </c>
      <c r="K93" s="33">
        <f>J93^I$6 * (1-J93)^(1 - I$6)</f>
        <v>0.9361290856</v>
      </c>
      <c r="L93" s="33">
        <f>I$6*log(J93)+(1-I$6)*log(1-J93)</f>
        <v>-0.028664261</v>
      </c>
      <c r="M93" s="33">
        <v>-0.06387091442406634</v>
      </c>
      <c r="N93" s="33">
        <v>-0.03193545721203317</v>
      </c>
      <c r="O93" s="33">
        <v>-0.06387091442406634</v>
      </c>
      <c r="P93" s="33">
        <v>-0.0383225486544398</v>
      </c>
      <c r="Q93" s="33">
        <v>-0.04258060961604422</v>
      </c>
      <c r="R93" s="33">
        <v>-0.015967728606016585</v>
      </c>
      <c r="S93" s="33">
        <v>-0.06387091442406634</v>
      </c>
      <c r="T93" s="33">
        <v>-0.06387091442406634</v>
      </c>
      <c r="U93" s="33">
        <v>-0.06387091442406634</v>
      </c>
    </row>
    <row r="94">
      <c r="A94" s="33">
        <v>0.0</v>
      </c>
      <c r="B94" s="33">
        <v>0.0</v>
      </c>
      <c r="C94" s="33">
        <v>0.22115937200201907</v>
      </c>
      <c r="D94" s="33">
        <v>0.18216415551509915</v>
      </c>
      <c r="E94" s="33">
        <v>-1.564596241403017</v>
      </c>
      <c r="F94" s="33">
        <v>0.04301232798617677</v>
      </c>
      <c r="G94" s="33">
        <v>0.0</v>
      </c>
      <c r="H94" s="33">
        <v>-0.6579663904945613</v>
      </c>
      <c r="I94" s="33">
        <f t="shared" si="50"/>
        <v>-1.776226776</v>
      </c>
      <c r="J94" s="33">
        <f t="shared" si="51"/>
        <v>0.1447696764</v>
      </c>
      <c r="K94" s="33">
        <f>J94^I$7 * (1-J94)^(1 - I$7)</f>
        <v>0.8552303236</v>
      </c>
      <c r="L94" s="33">
        <f>I$7*log(J94)+(1-I$7)*log(1-J94)</f>
        <v>-0.06791690888</v>
      </c>
      <c r="M94" s="33">
        <v>0.1447696763627084</v>
      </c>
      <c r="N94" s="33">
        <v>0.0</v>
      </c>
      <c r="O94" s="33">
        <v>0.0</v>
      </c>
      <c r="P94" s="33">
        <v>0.028953935272541684</v>
      </c>
      <c r="Q94" s="33">
        <v>0.024128279393784733</v>
      </c>
      <c r="R94" s="33">
        <v>0.1085772572720313</v>
      </c>
      <c r="S94" s="33">
        <v>0.010340691168764885</v>
      </c>
      <c r="T94" s="33">
        <v>0.0</v>
      </c>
      <c r="U94" s="33">
        <v>0.1447696763627084</v>
      </c>
    </row>
    <row r="95">
      <c r="L95" s="21" t="s">
        <v>38</v>
      </c>
      <c r="M95" s="33">
        <f t="array" ref="M95">SQRT(AVERAGE(M90:M94^2))</f>
        <v>0.1955515121</v>
      </c>
      <c r="N95" s="33">
        <f t="shared" ref="N95:U95" si="52">AVERAGE(N90:N94)</f>
        <v>0.02290113258</v>
      </c>
      <c r="O95" s="33">
        <f t="shared" si="52"/>
        <v>-0.005189453058</v>
      </c>
      <c r="P95" s="33">
        <f t="shared" si="52"/>
        <v>-0.04500559406</v>
      </c>
      <c r="Q95" s="33">
        <f t="shared" si="52"/>
        <v>-0.04339043916</v>
      </c>
      <c r="R95" s="33">
        <f t="shared" si="52"/>
        <v>0.05184587258</v>
      </c>
      <c r="S95" s="33">
        <f t="shared" si="52"/>
        <v>-0.03738052532</v>
      </c>
      <c r="T95" s="33">
        <f t="shared" si="52"/>
        <v>-0.005189453058</v>
      </c>
      <c r="U95" s="33">
        <f t="shared" si="52"/>
        <v>0.001224000441</v>
      </c>
    </row>
    <row r="96">
      <c r="A96" s="21">
        <f t="shared" ref="A96:H96" si="53">A89-N95*$B$8</f>
        <v>-0.01427940514</v>
      </c>
      <c r="B96" s="21">
        <f t="shared" si="53"/>
        <v>-0.101625761</v>
      </c>
      <c r="C96" s="21">
        <f t="shared" si="53"/>
        <v>1.150802454</v>
      </c>
      <c r="D96" s="21">
        <f t="shared" si="53"/>
        <v>1.136375372</v>
      </c>
      <c r="E96" s="21">
        <f t="shared" si="53"/>
        <v>-2.137974194</v>
      </c>
      <c r="F96" s="21">
        <f t="shared" si="53"/>
        <v>0.6395531171</v>
      </c>
      <c r="G96" s="21">
        <f t="shared" si="53"/>
        <v>1.977774239</v>
      </c>
      <c r="H96" s="21">
        <f t="shared" si="53"/>
        <v>-0.6591903909</v>
      </c>
      <c r="I96" s="21" t="s">
        <v>35</v>
      </c>
      <c r="J96" s="21" t="s">
        <v>36</v>
      </c>
      <c r="K96" s="21" t="s">
        <v>39</v>
      </c>
      <c r="L96" s="21" t="s">
        <v>40</v>
      </c>
      <c r="M96" s="28" t="s">
        <v>37</v>
      </c>
      <c r="N96" s="31" t="s">
        <v>0</v>
      </c>
      <c r="O96" s="32" t="s">
        <v>1</v>
      </c>
      <c r="P96" s="32" t="s">
        <v>2</v>
      </c>
      <c r="Q96" s="32" t="s">
        <v>3</v>
      </c>
      <c r="R96" s="32" t="s">
        <v>4</v>
      </c>
      <c r="S96" s="32" t="s">
        <v>5</v>
      </c>
      <c r="T96" s="32" t="s">
        <v>6</v>
      </c>
      <c r="U96" s="32" t="s">
        <v>16</v>
      </c>
    </row>
    <row r="97">
      <c r="A97" s="33">
        <f t="array" ref="A97:A101">A$3:A$7*A96</f>
        <v>-0.003569851285</v>
      </c>
      <c r="B97" s="33">
        <f t="array" ref="B97:B101">B$3:B$7*B96</f>
        <v>-0.101625761</v>
      </c>
      <c r="C97" s="33">
        <f t="array" ref="C97:C101">C$3:C$7*C96</f>
        <v>0.4603209816</v>
      </c>
      <c r="D97" s="33">
        <f t="array" ref="D97:D101">D$3:D$7*D96</f>
        <v>0.3787917908</v>
      </c>
      <c r="E97" s="33">
        <f t="array" ref="E97:E101">E$3:E$7*E96</f>
        <v>-1.068987097</v>
      </c>
      <c r="F97" s="33">
        <f t="array" ref="F97:F101">F$3:F$7*F96</f>
        <v>0.09136473102</v>
      </c>
      <c r="G97" s="33">
        <f t="array" ref="G97:G101">G$3:G$7*G96</f>
        <v>1.977774239</v>
      </c>
      <c r="H97" s="33">
        <f t="array" ref="H97:H101">H$3:H$7*H96</f>
        <v>-0.6591903909</v>
      </c>
      <c r="I97" s="33">
        <f t="shared" ref="I97:I101" si="54">SUM(A97:H97)</f>
        <v>1.074878642</v>
      </c>
      <c r="J97" s="33">
        <f t="shared" ref="J97:J101" si="55">1/(1 + EXP(-I97))</f>
        <v>0.745523591</v>
      </c>
      <c r="K97" s="33">
        <f>J97^I$3 * (1-J97)^(1 - I$3)</f>
        <v>0.745523591</v>
      </c>
      <c r="L97" s="33">
        <f>I$3*log(J97)+(1-I$3)*log(1-J97)</f>
        <v>-0.1275386094</v>
      </c>
      <c r="M97" s="33">
        <f t="array" ref="M97:M101">J97:J101-I$3:I$7</f>
        <v>-0.254476409</v>
      </c>
      <c r="N97" s="33">
        <f t="array" ref="N97:N101">$M97:$M101*A$3:A$7</f>
        <v>-0.06361910226</v>
      </c>
      <c r="O97" s="33">
        <f t="array" ref="O97:O101">$M97:$M101*B$3:B$7</f>
        <v>-0.254476409</v>
      </c>
      <c r="P97" s="33">
        <f t="array" ref="P97:P101">$M97:$M101*C$3:C$7</f>
        <v>-0.1017905636</v>
      </c>
      <c r="Q97" s="33">
        <f t="array" ref="Q97:Q101">$M97:$M101*D$3:D$7</f>
        <v>-0.08482546967</v>
      </c>
      <c r="R97" s="33">
        <f t="array" ref="R97:R101">$M97:$M101*E$3:E$7</f>
        <v>-0.1272382045</v>
      </c>
      <c r="S97" s="33">
        <f t="array" ref="S97:S101">$M97:$M101*F$3:F$7</f>
        <v>-0.03635377272</v>
      </c>
      <c r="T97" s="33">
        <f t="array" ref="T97:T101">$M97:$M101*G$3:G$7</f>
        <v>-0.254476409</v>
      </c>
      <c r="U97" s="33">
        <f t="array" ref="U97:U101">$M97:$M101*H$3:H$7</f>
        <v>-0.254476409</v>
      </c>
    </row>
    <row r="98">
      <c r="A98" s="33">
        <v>-0.010709553853800813</v>
      </c>
      <c r="B98" s="33">
        <v>0.0</v>
      </c>
      <c r="C98" s="33">
        <v>1.1508024540750748</v>
      </c>
      <c r="D98" s="33">
        <v>1.1363753722545025</v>
      </c>
      <c r="E98" s="33">
        <v>0.0</v>
      </c>
      <c r="F98" s="33">
        <v>0.5481883861080384</v>
      </c>
      <c r="G98" s="33">
        <v>0.0</v>
      </c>
      <c r="H98" s="33">
        <v>-0.6591903909352519</v>
      </c>
      <c r="I98" s="33">
        <f t="shared" si="54"/>
        <v>2.165466268</v>
      </c>
      <c r="J98" s="33">
        <f t="shared" si="55"/>
        <v>0.8971052221</v>
      </c>
      <c r="K98" s="33">
        <f>J98^I$4 * (1-J98)^(1 - I$4)</f>
        <v>0.8971052221</v>
      </c>
      <c r="L98" s="33">
        <f>I$4*log(J98)+(1-I$4)*log(1-J98)</f>
        <v>-0.04715661525</v>
      </c>
      <c r="M98" s="33">
        <v>-0.10289477787312307</v>
      </c>
      <c r="N98" s="33">
        <v>-0.0771710834048423</v>
      </c>
      <c r="O98" s="33">
        <v>0.0</v>
      </c>
      <c r="P98" s="33">
        <v>-0.10289477787312307</v>
      </c>
      <c r="Q98" s="33">
        <v>-0.10289477787312307</v>
      </c>
      <c r="R98" s="33">
        <v>0.0</v>
      </c>
      <c r="S98" s="33">
        <v>-0.08819552389124834</v>
      </c>
      <c r="T98" s="33">
        <v>0.0</v>
      </c>
      <c r="U98" s="33">
        <v>-0.10289477787312307</v>
      </c>
    </row>
    <row r="99">
      <c r="A99" s="33">
        <v>-0.014279405138401084</v>
      </c>
      <c r="B99" s="33">
        <v>-0.10162576101792165</v>
      </c>
      <c r="C99" s="33">
        <v>0.0</v>
      </c>
      <c r="D99" s="33">
        <v>0.0</v>
      </c>
      <c r="E99" s="33">
        <v>-2.1379741944491704</v>
      </c>
      <c r="F99" s="33">
        <v>0.0</v>
      </c>
      <c r="G99" s="33">
        <v>1.9777742389820785</v>
      </c>
      <c r="H99" s="33">
        <v>-0.6591903909352519</v>
      </c>
      <c r="I99" s="33">
        <f t="shared" si="54"/>
        <v>-0.9352955126</v>
      </c>
      <c r="J99" s="33">
        <f t="shared" si="55"/>
        <v>0.2818516059</v>
      </c>
      <c r="K99" s="33">
        <f>J99^I$5 * (1-J99)^(1 - I$5)</f>
        <v>0.7181483941</v>
      </c>
      <c r="L99" s="33">
        <f>I$5*log(J99)+(1-I$5)*log(1-J99)</f>
        <v>-0.1437858063</v>
      </c>
      <c r="M99" s="33">
        <v>0.28185160588611513</v>
      </c>
      <c r="N99" s="33">
        <v>0.28185160588611513</v>
      </c>
      <c r="O99" s="33">
        <v>0.28185160588611513</v>
      </c>
      <c r="P99" s="33">
        <v>0.0</v>
      </c>
      <c r="Q99" s="33">
        <v>0.0</v>
      </c>
      <c r="R99" s="33">
        <v>0.28185160588611513</v>
      </c>
      <c r="S99" s="33">
        <v>0.0</v>
      </c>
      <c r="T99" s="33">
        <v>0.28185160588611513</v>
      </c>
      <c r="U99" s="33">
        <v>0.28185160588611513</v>
      </c>
    </row>
    <row r="100">
      <c r="A100" s="33">
        <v>-0.007139702569200542</v>
      </c>
      <c r="B100" s="33">
        <v>-0.10162576101792165</v>
      </c>
      <c r="C100" s="33">
        <v>0.6904814724450449</v>
      </c>
      <c r="D100" s="33">
        <v>0.7575835815030016</v>
      </c>
      <c r="E100" s="33">
        <v>-0.5344935486122926</v>
      </c>
      <c r="F100" s="33">
        <v>0.6395531171260449</v>
      </c>
      <c r="G100" s="33">
        <v>1.9777742389820785</v>
      </c>
      <c r="H100" s="33">
        <v>-0.6591903909352519</v>
      </c>
      <c r="I100" s="33">
        <f t="shared" si="54"/>
        <v>2.762943007</v>
      </c>
      <c r="J100" s="33">
        <f t="shared" si="55"/>
        <v>0.9406401737</v>
      </c>
      <c r="K100" s="33">
        <f>J100^I$6 * (1-J100)^(1 - I$6)</f>
        <v>0.9406401737</v>
      </c>
      <c r="L100" s="33">
        <f>I$6*log(J100)+(1-I$6)*log(1-J100)</f>
        <v>-0.02657647695</v>
      </c>
      <c r="M100" s="33">
        <v>-0.059359826286153994</v>
      </c>
      <c r="N100" s="33">
        <v>-0.029679913143076997</v>
      </c>
      <c r="O100" s="33">
        <v>-0.059359826286153994</v>
      </c>
      <c r="P100" s="33">
        <v>-0.03561589577169239</v>
      </c>
      <c r="Q100" s="33">
        <v>-0.03957321752410266</v>
      </c>
      <c r="R100" s="33">
        <v>-0.014839956571538498</v>
      </c>
      <c r="S100" s="33">
        <v>-0.059359826286153994</v>
      </c>
      <c r="T100" s="33">
        <v>-0.059359826286153994</v>
      </c>
      <c r="U100" s="33">
        <v>-0.059359826286153994</v>
      </c>
    </row>
    <row r="101">
      <c r="A101" s="33">
        <v>0.0</v>
      </c>
      <c r="B101" s="33">
        <v>0.0</v>
      </c>
      <c r="C101" s="33">
        <v>0.23016049081501497</v>
      </c>
      <c r="D101" s="33">
        <v>0.1893958953757504</v>
      </c>
      <c r="E101" s="33">
        <v>-1.6034806458368778</v>
      </c>
      <c r="F101" s="33">
        <v>0.0456823655090032</v>
      </c>
      <c r="G101" s="33">
        <v>0.0</v>
      </c>
      <c r="H101" s="33">
        <v>-0.6591903909352519</v>
      </c>
      <c r="I101" s="33">
        <f t="shared" si="54"/>
        <v>-1.797432285</v>
      </c>
      <c r="J101" s="33">
        <f t="shared" si="55"/>
        <v>0.1421639187</v>
      </c>
      <c r="K101" s="33">
        <f>J101^I$7 * (1-J101)^(1 - I$7)</f>
        <v>0.8578360813</v>
      </c>
      <c r="L101" s="33">
        <f>I$7*log(J101)+(1-I$7)*log(1-J101)</f>
        <v>-0.06659569092</v>
      </c>
      <c r="M101" s="33">
        <v>0.142163918680743</v>
      </c>
      <c r="N101" s="33">
        <v>0.0</v>
      </c>
      <c r="O101" s="33">
        <v>0.0</v>
      </c>
      <c r="P101" s="33">
        <v>0.0284327837361486</v>
      </c>
      <c r="Q101" s="33">
        <v>0.023693986446790497</v>
      </c>
      <c r="R101" s="33">
        <v>0.10662293901055725</v>
      </c>
      <c r="S101" s="33">
        <v>0.01015456562005307</v>
      </c>
      <c r="T101" s="33">
        <v>0.0</v>
      </c>
      <c r="U101" s="33">
        <v>0.142163918680743</v>
      </c>
    </row>
    <row r="102">
      <c r="L102" s="21" t="s">
        <v>38</v>
      </c>
      <c r="M102" s="33">
        <f t="array" ref="M102">SQRT(AVERAGE(M97:M101^2))</f>
        <v>0.1889550606</v>
      </c>
      <c r="N102" s="33">
        <f t="shared" ref="N102:U102" si="56">AVERAGE(N97:N101)</f>
        <v>0.02227630142</v>
      </c>
      <c r="O102" s="33">
        <f t="shared" si="56"/>
        <v>-0.006396925884</v>
      </c>
      <c r="P102" s="33">
        <f t="shared" si="56"/>
        <v>-0.0423736907</v>
      </c>
      <c r="Q102" s="33">
        <f t="shared" si="56"/>
        <v>-0.04071989572</v>
      </c>
      <c r="R102" s="33">
        <f t="shared" si="56"/>
        <v>0.04927927676</v>
      </c>
      <c r="S102" s="33">
        <f t="shared" si="56"/>
        <v>-0.03475091145</v>
      </c>
      <c r="T102" s="33">
        <f t="shared" si="56"/>
        <v>-0.006396925884</v>
      </c>
      <c r="U102" s="33">
        <f t="shared" si="56"/>
        <v>0.001456902277</v>
      </c>
    </row>
    <row r="103">
      <c r="A103" s="21">
        <f t="shared" ref="A103:H103" si="57">A96-N102*$B$8</f>
        <v>-0.03655570656</v>
      </c>
      <c r="B103" s="21">
        <f t="shared" si="57"/>
        <v>-0.09522883513</v>
      </c>
      <c r="C103" s="21">
        <f t="shared" si="57"/>
        <v>1.193176145</v>
      </c>
      <c r="D103" s="21">
        <f t="shared" si="57"/>
        <v>1.177095268</v>
      </c>
      <c r="E103" s="21">
        <f t="shared" si="57"/>
        <v>-2.187253471</v>
      </c>
      <c r="F103" s="21">
        <f t="shared" si="57"/>
        <v>0.6743040286</v>
      </c>
      <c r="G103" s="21">
        <f t="shared" si="57"/>
        <v>1.984171165</v>
      </c>
      <c r="H103" s="21">
        <f t="shared" si="57"/>
        <v>-0.6606472932</v>
      </c>
      <c r="I103" s="21" t="s">
        <v>35</v>
      </c>
      <c r="J103" s="21" t="s">
        <v>36</v>
      </c>
      <c r="K103" s="21" t="s">
        <v>39</v>
      </c>
      <c r="L103" s="21" t="s">
        <v>40</v>
      </c>
      <c r="M103" s="28" t="s">
        <v>37</v>
      </c>
      <c r="N103" s="31" t="s">
        <v>0</v>
      </c>
      <c r="O103" s="32" t="s">
        <v>1</v>
      </c>
      <c r="P103" s="32" t="s">
        <v>2</v>
      </c>
      <c r="Q103" s="32" t="s">
        <v>3</v>
      </c>
      <c r="R103" s="32" t="s">
        <v>4</v>
      </c>
      <c r="S103" s="32" t="s">
        <v>5</v>
      </c>
      <c r="T103" s="32" t="s">
        <v>6</v>
      </c>
      <c r="U103" s="32" t="s">
        <v>16</v>
      </c>
    </row>
    <row r="104">
      <c r="A104" s="33">
        <f t="array" ref="A104:A108">A$3:A$7*A103</f>
        <v>-0.009138926639</v>
      </c>
      <c r="B104" s="33">
        <f t="array" ref="B104:B108">B$3:B$7*B103</f>
        <v>-0.09522883513</v>
      </c>
      <c r="C104" s="33">
        <f t="array" ref="C104:C108">C$3:C$7*C103</f>
        <v>0.4772704579</v>
      </c>
      <c r="D104" s="33">
        <f t="array" ref="D104:D108">D$3:D$7*D103</f>
        <v>0.3923650893</v>
      </c>
      <c r="E104" s="33">
        <f t="array" ref="E104:E108">E$3:E$7*E103</f>
        <v>-1.093626736</v>
      </c>
      <c r="F104" s="33">
        <f t="array" ref="F104:F108">F$3:F$7*F103</f>
        <v>0.09632914694</v>
      </c>
      <c r="G104" s="33">
        <f t="array" ref="G104:G108">G$3:G$7*G103</f>
        <v>1.984171165</v>
      </c>
      <c r="H104" s="33">
        <f t="array" ref="H104:H108">H$3:H$7*H103</f>
        <v>-0.6606472932</v>
      </c>
      <c r="I104" s="33">
        <f t="shared" ref="I104:I108" si="58">SUM(A104:H104)</f>
        <v>1.091494068</v>
      </c>
      <c r="J104" s="33">
        <f t="shared" ref="J104:J108" si="59">1/(1 + EXP(-I104))</f>
        <v>0.74866296</v>
      </c>
      <c r="K104" s="33">
        <f>J104^I$3 * (1-J104)^(1 - I$3)</f>
        <v>0.74866296</v>
      </c>
      <c r="L104" s="33">
        <f>I$3*log(J104)+(1-I$3)*log(1-J104)</f>
        <v>-0.125713653</v>
      </c>
      <c r="M104" s="33">
        <f t="array" ref="M104:M108">J104:J108-I$3:I$7</f>
        <v>-0.25133704</v>
      </c>
      <c r="N104" s="33">
        <f t="array" ref="N104:N108">$M104:$M108*A$3:A$7</f>
        <v>-0.06283426</v>
      </c>
      <c r="O104" s="33">
        <f t="array" ref="O104:O108">$M104:$M108*B$3:B$7</f>
        <v>-0.25133704</v>
      </c>
      <c r="P104" s="33">
        <f t="array" ref="P104:P108">$M104:$M108*C$3:C$7</f>
        <v>-0.100534816</v>
      </c>
      <c r="Q104" s="33">
        <f t="array" ref="Q104:Q108">$M104:$M108*D$3:D$7</f>
        <v>-0.08377901333</v>
      </c>
      <c r="R104" s="33">
        <f t="array" ref="R104:R108">$M104:$M108*E$3:E$7</f>
        <v>-0.12566852</v>
      </c>
      <c r="S104" s="33">
        <f t="array" ref="S104:S108">$M104:$M108*F$3:F$7</f>
        <v>-0.03590529143</v>
      </c>
      <c r="T104" s="33">
        <f t="array" ref="T104:T108">$M104:$M108*G$3:G$7</f>
        <v>-0.25133704</v>
      </c>
      <c r="U104" s="33">
        <f t="array" ref="U104:U108">$M104:$M108*H$3:H$7</f>
        <v>-0.25133704</v>
      </c>
    </row>
    <row r="105">
      <c r="A105" s="33">
        <v>-0.027416779916276206</v>
      </c>
      <c r="B105" s="33">
        <v>0.0</v>
      </c>
      <c r="C105" s="33">
        <v>1.1931761447784166</v>
      </c>
      <c r="D105" s="33">
        <v>1.1770952679792632</v>
      </c>
      <c r="E105" s="33">
        <v>0.0</v>
      </c>
      <c r="F105" s="33">
        <v>0.5779748816408111</v>
      </c>
      <c r="G105" s="33">
        <v>0.0</v>
      </c>
      <c r="H105" s="33">
        <v>-0.6606472932127468</v>
      </c>
      <c r="I105" s="33">
        <f t="shared" si="58"/>
        <v>2.260182221</v>
      </c>
      <c r="J105" s="33">
        <f t="shared" si="59"/>
        <v>0.9055252211</v>
      </c>
      <c r="K105" s="33">
        <f>J105^I$4 * (1-J105)^(1 - I$4)</f>
        <v>0.9055252211</v>
      </c>
      <c r="L105" s="33">
        <f>I$4*log(J105)+(1-I$4)*log(1-J105)</f>
        <v>-0.04309944901</v>
      </c>
      <c r="M105" s="33">
        <v>-0.09447477889702449</v>
      </c>
      <c r="N105" s="33">
        <v>-0.07085608417276837</v>
      </c>
      <c r="O105" s="33">
        <v>0.0</v>
      </c>
      <c r="P105" s="33">
        <v>-0.09447477889702449</v>
      </c>
      <c r="Q105" s="33">
        <v>-0.09447477889702449</v>
      </c>
      <c r="R105" s="33">
        <v>0.0</v>
      </c>
      <c r="S105" s="33">
        <v>-0.08097838191173527</v>
      </c>
      <c r="T105" s="33">
        <v>0.0</v>
      </c>
      <c r="U105" s="33">
        <v>-0.09447477889702449</v>
      </c>
    </row>
    <row r="106">
      <c r="A106" s="33">
        <v>-0.03655570655503494</v>
      </c>
      <c r="B106" s="33">
        <v>-0.09522883513389264</v>
      </c>
      <c r="C106" s="33">
        <v>0.0</v>
      </c>
      <c r="D106" s="33">
        <v>0.0</v>
      </c>
      <c r="E106" s="33">
        <v>-2.1872534712121867</v>
      </c>
      <c r="F106" s="33">
        <v>0.0</v>
      </c>
      <c r="G106" s="33">
        <v>1.9841711648661076</v>
      </c>
      <c r="H106" s="33">
        <v>-0.6606472932127468</v>
      </c>
      <c r="I106" s="33">
        <f t="shared" si="58"/>
        <v>-0.9955141412</v>
      </c>
      <c r="J106" s="33">
        <f t="shared" si="59"/>
        <v>0.2698243084</v>
      </c>
      <c r="K106" s="33">
        <f>J106^I$5 * (1-J106)^(1 - I$5)</f>
        <v>0.7301756916</v>
      </c>
      <c r="L106" s="33">
        <f>I$5*log(J106)+(1-I$5)*log(1-J106)</f>
        <v>-0.1365726293</v>
      </c>
      <c r="M106" s="33">
        <v>0.2698243083599639</v>
      </c>
      <c r="N106" s="33">
        <v>0.2698243083599639</v>
      </c>
      <c r="O106" s="33">
        <v>0.2698243083599639</v>
      </c>
      <c r="P106" s="33">
        <v>0.0</v>
      </c>
      <c r="Q106" s="33">
        <v>0.0</v>
      </c>
      <c r="R106" s="33">
        <v>0.2698243083599639</v>
      </c>
      <c r="S106" s="33">
        <v>0.0</v>
      </c>
      <c r="T106" s="33">
        <v>0.2698243083599639</v>
      </c>
      <c r="U106" s="33">
        <v>0.2698243083599639</v>
      </c>
    </row>
    <row r="107">
      <c r="A107" s="33">
        <v>-0.01827785327751747</v>
      </c>
      <c r="B107" s="33">
        <v>-0.09522883513389264</v>
      </c>
      <c r="C107" s="33">
        <v>0.7159056868670499</v>
      </c>
      <c r="D107" s="33">
        <v>0.7847301786528421</v>
      </c>
      <c r="E107" s="33">
        <v>-0.5468133678030467</v>
      </c>
      <c r="F107" s="33">
        <v>0.6743040285809464</v>
      </c>
      <c r="G107" s="33">
        <v>1.9841711648661076</v>
      </c>
      <c r="H107" s="33">
        <v>-0.6606472932127468</v>
      </c>
      <c r="I107" s="33">
        <f t="shared" si="58"/>
        <v>2.83814371</v>
      </c>
      <c r="J107" s="33">
        <f t="shared" si="59"/>
        <v>0.9447025703</v>
      </c>
      <c r="K107" s="33">
        <f>J107^I$6 * (1-J107)^(1 - I$6)</f>
        <v>0.9447025703</v>
      </c>
      <c r="L107" s="33">
        <f>I$6*log(J107)+(1-I$6)*log(1-J107)</f>
        <v>-0.02470490303</v>
      </c>
      <c r="M107" s="33">
        <v>-0.0552974296867208</v>
      </c>
      <c r="N107" s="33">
        <v>-0.0276487148433604</v>
      </c>
      <c r="O107" s="33">
        <v>-0.0552974296867208</v>
      </c>
      <c r="P107" s="33">
        <v>-0.03317845781203248</v>
      </c>
      <c r="Q107" s="33">
        <v>-0.03686495312448053</v>
      </c>
      <c r="R107" s="33">
        <v>-0.0138243574216802</v>
      </c>
      <c r="S107" s="33">
        <v>-0.0552974296867208</v>
      </c>
      <c r="T107" s="33">
        <v>-0.0552974296867208</v>
      </c>
      <c r="U107" s="33">
        <v>-0.0552974296867208</v>
      </c>
    </row>
    <row r="108">
      <c r="A108" s="33">
        <v>0.0</v>
      </c>
      <c r="B108" s="33">
        <v>0.0</v>
      </c>
      <c r="C108" s="33">
        <v>0.23863522895568334</v>
      </c>
      <c r="D108" s="33">
        <v>0.19618254466321053</v>
      </c>
      <c r="E108" s="33">
        <v>-1.64044010340914</v>
      </c>
      <c r="F108" s="33">
        <v>0.0481645734700676</v>
      </c>
      <c r="G108" s="33">
        <v>0.0</v>
      </c>
      <c r="H108" s="33">
        <v>-0.6606472932127468</v>
      </c>
      <c r="I108" s="33">
        <f t="shared" si="58"/>
        <v>-1.81810505</v>
      </c>
      <c r="J108" s="33">
        <f t="shared" si="59"/>
        <v>0.1396614074</v>
      </c>
      <c r="K108" s="33">
        <f>J108^I$7 * (1-J108)^(1 - I$7)</f>
        <v>0.8603385926</v>
      </c>
      <c r="L108" s="33">
        <f>I$7*log(J108)+(1-I$7)*log(1-J108)</f>
        <v>-0.06533059531</v>
      </c>
      <c r="M108" s="33">
        <v>0.13966140738294688</v>
      </c>
      <c r="N108" s="33">
        <v>0.0</v>
      </c>
      <c r="O108" s="33">
        <v>0.0</v>
      </c>
      <c r="P108" s="33">
        <v>0.02793228147658938</v>
      </c>
      <c r="Q108" s="33">
        <v>0.023276901230491146</v>
      </c>
      <c r="R108" s="33">
        <v>0.10474605553721017</v>
      </c>
      <c r="S108" s="33">
        <v>0.009975814813067634</v>
      </c>
      <c r="T108" s="33">
        <v>0.0</v>
      </c>
      <c r="U108" s="33">
        <v>0.13966140738294688</v>
      </c>
    </row>
    <row r="109">
      <c r="L109" s="21" t="s">
        <v>38</v>
      </c>
      <c r="M109" s="33">
        <f t="array" ref="M109">SQRT(AVERAGE(M104:M108^2))</f>
        <v>0.1830104168</v>
      </c>
      <c r="N109" s="33">
        <f t="shared" ref="N109:U109" si="60">AVERAGE(N104:N108)</f>
        <v>0.02169704987</v>
      </c>
      <c r="O109" s="33">
        <f t="shared" si="60"/>
        <v>-0.007362032262</v>
      </c>
      <c r="P109" s="33">
        <f t="shared" si="60"/>
        <v>-0.04005115424</v>
      </c>
      <c r="Q109" s="33">
        <f t="shared" si="60"/>
        <v>-0.03836836882</v>
      </c>
      <c r="R109" s="33">
        <f t="shared" si="60"/>
        <v>0.0470154973</v>
      </c>
      <c r="S109" s="33">
        <f t="shared" si="60"/>
        <v>-0.03244105764</v>
      </c>
      <c r="T109" s="33">
        <f t="shared" si="60"/>
        <v>-0.007362032262</v>
      </c>
      <c r="U109" s="33">
        <f t="shared" si="60"/>
        <v>0.001675293436</v>
      </c>
    </row>
    <row r="110">
      <c r="A110" s="21">
        <f t="shared" ref="A110:H110" si="61">A103-N109*$B$8</f>
        <v>-0.05825275642</v>
      </c>
      <c r="B110" s="21">
        <f t="shared" si="61"/>
        <v>-0.08786680287</v>
      </c>
      <c r="C110" s="21">
        <f t="shared" si="61"/>
        <v>1.233227299</v>
      </c>
      <c r="D110" s="21">
        <f t="shared" si="61"/>
        <v>1.215463637</v>
      </c>
      <c r="E110" s="21">
        <f t="shared" si="61"/>
        <v>-2.234268969</v>
      </c>
      <c r="F110" s="21">
        <f t="shared" si="61"/>
        <v>0.7067450862</v>
      </c>
      <c r="G110" s="21">
        <f t="shared" si="61"/>
        <v>1.991533197</v>
      </c>
      <c r="H110" s="21">
        <f t="shared" si="61"/>
        <v>-0.6623225866</v>
      </c>
      <c r="I110" s="21" t="s">
        <v>35</v>
      </c>
      <c r="J110" s="21" t="s">
        <v>36</v>
      </c>
      <c r="K110" s="21" t="s">
        <v>39</v>
      </c>
      <c r="L110" s="21" t="s">
        <v>40</v>
      </c>
      <c r="M110" s="28" t="s">
        <v>37</v>
      </c>
      <c r="N110" s="31" t="s">
        <v>0</v>
      </c>
      <c r="O110" s="32" t="s">
        <v>1</v>
      </c>
      <c r="P110" s="32" t="s">
        <v>2</v>
      </c>
      <c r="Q110" s="32" t="s">
        <v>3</v>
      </c>
      <c r="R110" s="32" t="s">
        <v>4</v>
      </c>
      <c r="S110" s="32" t="s">
        <v>5</v>
      </c>
      <c r="T110" s="32" t="s">
        <v>6</v>
      </c>
      <c r="U110" s="32" t="s">
        <v>16</v>
      </c>
    </row>
    <row r="111">
      <c r="A111" s="33">
        <f t="array" ref="A111:A115">A$3:A$7*A110</f>
        <v>-0.01456318911</v>
      </c>
      <c r="B111" s="33">
        <f t="array" ref="B111:B115">B$3:B$7*B110</f>
        <v>-0.08786680287</v>
      </c>
      <c r="C111" s="33">
        <f t="array" ref="C111:C115">C$3:C$7*C110</f>
        <v>0.4932909196</v>
      </c>
      <c r="D111" s="33">
        <f t="array" ref="D111:D115">D$3:D$7*D110</f>
        <v>0.4051545456</v>
      </c>
      <c r="E111" s="33">
        <f t="array" ref="E111:E115">E$3:E$7*E110</f>
        <v>-1.117134484</v>
      </c>
      <c r="F111" s="33">
        <f t="array" ref="F111:F115">F$3:F$7*F110</f>
        <v>0.1009635837</v>
      </c>
      <c r="G111" s="33">
        <f t="array" ref="G111:G115">G$3:G$7*G110</f>
        <v>1.991533197</v>
      </c>
      <c r="H111" s="33">
        <f t="array" ref="H111:H115">H$3:H$7*H110</f>
        <v>-0.6623225866</v>
      </c>
      <c r="I111" s="33">
        <f t="shared" ref="I111:I115" si="62">SUM(A111:H111)</f>
        <v>1.109055183</v>
      </c>
      <c r="J111" s="33">
        <f t="shared" ref="J111:J115" si="63">1/(1 + EXP(-I111))</f>
        <v>0.7519529264</v>
      </c>
      <c r="K111" s="33">
        <f>J111^I$3 * (1-J111)^(1 - I$3)</f>
        <v>0.7519529264</v>
      </c>
      <c r="L111" s="33">
        <f>I$3*log(J111)+(1-I$3)*log(1-J111)</f>
        <v>-0.1238093462</v>
      </c>
      <c r="M111" s="33">
        <f t="array" ref="M111:M115">J111:J115-I$3:I$7</f>
        <v>-0.2480470736</v>
      </c>
      <c r="N111" s="33">
        <f t="array" ref="N111:N115">$M111:$M115*A$3:A$7</f>
        <v>-0.06201176839</v>
      </c>
      <c r="O111" s="33">
        <f t="array" ref="O111:O115">$M111:$M115*B$3:B$7</f>
        <v>-0.2480470736</v>
      </c>
      <c r="P111" s="33">
        <f t="array" ref="P111:P115">$M111:$M115*C$3:C$7</f>
        <v>-0.09921882943</v>
      </c>
      <c r="Q111" s="33">
        <f t="array" ref="Q111:Q115">$M111:$M115*D$3:D$7</f>
        <v>-0.08268235786</v>
      </c>
      <c r="R111" s="33">
        <f t="array" ref="R111:R115">$M111:$M115*E$3:E$7</f>
        <v>-0.1240235368</v>
      </c>
      <c r="S111" s="33">
        <f t="array" ref="S111:S115">$M111:$M115*F$3:F$7</f>
        <v>-0.03543529622</v>
      </c>
      <c r="T111" s="33">
        <f t="array" ref="T111:T115">$M111:$M115*G$3:G$7</f>
        <v>-0.2480470736</v>
      </c>
      <c r="U111" s="33">
        <f t="array" ref="U111:U115">$M111:$M115*H$3:H$7</f>
        <v>-0.2480470736</v>
      </c>
    </row>
    <row r="112">
      <c r="A112" s="33">
        <v>-0.04368956731855897</v>
      </c>
      <c r="B112" s="33">
        <v>0.0</v>
      </c>
      <c r="C112" s="33">
        <v>1.2332272990234008</v>
      </c>
      <c r="D112" s="33">
        <v>1.2154636368028748</v>
      </c>
      <c r="E112" s="33">
        <v>0.0</v>
      </c>
      <c r="F112" s="33">
        <v>0.605781502477028</v>
      </c>
      <c r="G112" s="33">
        <v>0.0</v>
      </c>
      <c r="H112" s="33">
        <v>-0.6623225866483533</v>
      </c>
      <c r="I112" s="33">
        <f t="shared" si="62"/>
        <v>2.348460284</v>
      </c>
      <c r="J112" s="33">
        <f t="shared" si="63"/>
        <v>0.9128117649</v>
      </c>
      <c r="K112" s="33">
        <f>J112^I$4 * (1-J112)^(1 - I$4)</f>
        <v>0.9128117649</v>
      </c>
      <c r="L112" s="33">
        <f>I$4*log(J112)+(1-I$4)*log(1-J112)</f>
        <v>-0.03961877108</v>
      </c>
      <c r="M112" s="33">
        <v>-0.0871882350759231</v>
      </c>
      <c r="N112" s="33">
        <v>-0.06539117630694233</v>
      </c>
      <c r="O112" s="33">
        <v>0.0</v>
      </c>
      <c r="P112" s="33">
        <v>-0.0871882350759231</v>
      </c>
      <c r="Q112" s="33">
        <v>-0.0871882350759231</v>
      </c>
      <c r="R112" s="33">
        <v>0.0</v>
      </c>
      <c r="S112" s="33">
        <v>-0.0747327729222198</v>
      </c>
      <c r="T112" s="33">
        <v>0.0</v>
      </c>
      <c r="U112" s="33">
        <v>-0.0871882350759231</v>
      </c>
    </row>
    <row r="113">
      <c r="A113" s="33">
        <v>-0.0582527564247453</v>
      </c>
      <c r="B113" s="33">
        <v>-0.08786680287231458</v>
      </c>
      <c r="C113" s="33">
        <v>0.0</v>
      </c>
      <c r="D113" s="33">
        <v>0.0</v>
      </c>
      <c r="E113" s="33">
        <v>-2.234268968509172</v>
      </c>
      <c r="F113" s="33">
        <v>0.0</v>
      </c>
      <c r="G113" s="33">
        <v>1.9915331971276857</v>
      </c>
      <c r="H113" s="33">
        <v>-0.6623225866483533</v>
      </c>
      <c r="I113" s="33">
        <f t="shared" si="62"/>
        <v>-1.051177917</v>
      </c>
      <c r="J113" s="33">
        <f t="shared" si="63"/>
        <v>0.2589989725</v>
      </c>
      <c r="K113" s="33">
        <f>J113^I$5 * (1-J113)^(1 - I$5)</f>
        <v>0.7410010275</v>
      </c>
      <c r="L113" s="33">
        <f>I$5*log(J113)+(1-I$5)*log(1-J113)</f>
        <v>-0.1301811898</v>
      </c>
      <c r="M113" s="33">
        <v>0.2589989725187506</v>
      </c>
      <c r="N113" s="33">
        <v>0.2589989725187506</v>
      </c>
      <c r="O113" s="33">
        <v>0.2589989725187506</v>
      </c>
      <c r="P113" s="33">
        <v>0.0</v>
      </c>
      <c r="Q113" s="33">
        <v>0.0</v>
      </c>
      <c r="R113" s="33">
        <v>0.2589989725187506</v>
      </c>
      <c r="S113" s="33">
        <v>0.0</v>
      </c>
      <c r="T113" s="33">
        <v>0.2589989725187506</v>
      </c>
      <c r="U113" s="33">
        <v>0.2589989725187506</v>
      </c>
    </row>
    <row r="114">
      <c r="A114" s="33">
        <v>-0.02912637821237265</v>
      </c>
      <c r="B114" s="33">
        <v>-0.08786680287231458</v>
      </c>
      <c r="C114" s="33">
        <v>0.7399363794140404</v>
      </c>
      <c r="D114" s="33">
        <v>0.8103090912019165</v>
      </c>
      <c r="E114" s="33">
        <v>-0.558567242127293</v>
      </c>
      <c r="F114" s="33">
        <v>0.7067450862231993</v>
      </c>
      <c r="G114" s="33">
        <v>1.9915331971276857</v>
      </c>
      <c r="H114" s="33">
        <v>-0.6623225866483533</v>
      </c>
      <c r="I114" s="33">
        <f t="shared" si="62"/>
        <v>2.910640744</v>
      </c>
      <c r="J114" s="33">
        <f t="shared" si="63"/>
        <v>0.9483699472</v>
      </c>
      <c r="K114" s="33">
        <f>J114^I$6 * (1-J114)^(1 - I$6)</f>
        <v>0.9483699472</v>
      </c>
      <c r="L114" s="33">
        <f>I$6*log(J114)+(1-I$6)*log(1-J114)</f>
        <v>-0.02302221679</v>
      </c>
      <c r="M114" s="33">
        <v>-0.051630052806609594</v>
      </c>
      <c r="N114" s="33">
        <v>-0.025815026403304797</v>
      </c>
      <c r="O114" s="33">
        <v>-0.051630052806609594</v>
      </c>
      <c r="P114" s="33">
        <v>-0.030978031683965755</v>
      </c>
      <c r="Q114" s="33">
        <v>-0.034420035204406396</v>
      </c>
      <c r="R114" s="33">
        <v>-0.012907513201652399</v>
      </c>
      <c r="S114" s="33">
        <v>-0.051630052806609594</v>
      </c>
      <c r="T114" s="33">
        <v>-0.051630052806609594</v>
      </c>
      <c r="U114" s="33">
        <v>-0.051630052806609594</v>
      </c>
    </row>
    <row r="115">
      <c r="A115" s="33">
        <v>0.0</v>
      </c>
      <c r="B115" s="33">
        <v>0.0</v>
      </c>
      <c r="C115" s="33">
        <v>0.24664545980468017</v>
      </c>
      <c r="D115" s="33">
        <v>0.20257727280047913</v>
      </c>
      <c r="E115" s="33">
        <v>-1.6757017263818792</v>
      </c>
      <c r="F115" s="33">
        <v>0.050481791873085664</v>
      </c>
      <c r="G115" s="33">
        <v>0.0</v>
      </c>
      <c r="H115" s="33">
        <v>-0.6623225866483533</v>
      </c>
      <c r="I115" s="33">
        <f t="shared" si="62"/>
        <v>-1.838319789</v>
      </c>
      <c r="J115" s="33">
        <f t="shared" si="63"/>
        <v>0.1372501294</v>
      </c>
      <c r="K115" s="33">
        <f>J115^I$7 * (1-J115)^(1 - I$7)</f>
        <v>0.8627498706</v>
      </c>
      <c r="L115" s="33">
        <f>I$7*log(J115)+(1-I$7)*log(1-J115)</f>
        <v>-0.06411509719</v>
      </c>
      <c r="M115" s="33">
        <v>0.13725012942916584</v>
      </c>
      <c r="N115" s="33">
        <v>0.0</v>
      </c>
      <c r="O115" s="33">
        <v>0.0</v>
      </c>
      <c r="P115" s="33">
        <v>0.02745002588583317</v>
      </c>
      <c r="Q115" s="33">
        <v>0.02287502157152764</v>
      </c>
      <c r="R115" s="33">
        <v>0.10293759707187439</v>
      </c>
      <c r="S115" s="33">
        <v>0.009803580673511844</v>
      </c>
      <c r="T115" s="33">
        <v>0.0</v>
      </c>
      <c r="U115" s="33">
        <v>0.13725012942916584</v>
      </c>
    </row>
    <row r="116">
      <c r="L116" s="21" t="s">
        <v>38</v>
      </c>
      <c r="M116" s="33">
        <f t="array" ref="M116">SQRT(AVERAGE(M111:M115^2))</f>
        <v>0.1776022901</v>
      </c>
      <c r="N116" s="33">
        <f t="shared" ref="N116:U116" si="64">AVERAGE(N111:N115)</f>
        <v>0.02115620028</v>
      </c>
      <c r="O116" s="33">
        <f t="shared" si="64"/>
        <v>-0.008135630772</v>
      </c>
      <c r="P116" s="33">
        <f t="shared" si="64"/>
        <v>-0.03798701406</v>
      </c>
      <c r="Q116" s="33">
        <f t="shared" si="64"/>
        <v>-0.03628312131</v>
      </c>
      <c r="R116" s="33">
        <f t="shared" si="64"/>
        <v>0.04500110392</v>
      </c>
      <c r="S116" s="33">
        <f t="shared" si="64"/>
        <v>-0.03039890826</v>
      </c>
      <c r="T116" s="33">
        <f t="shared" si="64"/>
        <v>-0.008135630772</v>
      </c>
      <c r="U116" s="33">
        <f t="shared" si="64"/>
        <v>0.001876748098</v>
      </c>
    </row>
    <row r="117">
      <c r="A117" s="21">
        <f t="shared" ref="A117:H117" si="65">A110-N116*$B$8</f>
        <v>-0.07940895671</v>
      </c>
      <c r="B117" s="21">
        <f t="shared" si="65"/>
        <v>-0.0797311721</v>
      </c>
      <c r="C117" s="21">
        <f t="shared" si="65"/>
        <v>1.271214313</v>
      </c>
      <c r="D117" s="21">
        <f t="shared" si="65"/>
        <v>1.251746758</v>
      </c>
      <c r="E117" s="21">
        <f t="shared" si="65"/>
        <v>-2.279270072</v>
      </c>
      <c r="F117" s="21">
        <f t="shared" si="65"/>
        <v>0.7371439945</v>
      </c>
      <c r="G117" s="21">
        <f t="shared" si="65"/>
        <v>1.999668828</v>
      </c>
      <c r="H117" s="21">
        <f t="shared" si="65"/>
        <v>-0.6641993347</v>
      </c>
      <c r="I117" s="21" t="s">
        <v>35</v>
      </c>
      <c r="J117" s="21" t="s">
        <v>36</v>
      </c>
      <c r="K117" s="21" t="s">
        <v>39</v>
      </c>
      <c r="L117" s="21" t="s">
        <v>40</v>
      </c>
      <c r="M117" s="28" t="s">
        <v>37</v>
      </c>
      <c r="N117" s="31" t="s">
        <v>0</v>
      </c>
      <c r="O117" s="32" t="s">
        <v>1</v>
      </c>
      <c r="P117" s="32" t="s">
        <v>2</v>
      </c>
      <c r="Q117" s="32" t="s">
        <v>3</v>
      </c>
      <c r="R117" s="32" t="s">
        <v>4</v>
      </c>
      <c r="S117" s="32" t="s">
        <v>5</v>
      </c>
      <c r="T117" s="32" t="s">
        <v>6</v>
      </c>
      <c r="U117" s="32" t="s">
        <v>16</v>
      </c>
    </row>
    <row r="118">
      <c r="A118" s="33">
        <f t="array" ref="A118:A122">A$3:A$7*A117</f>
        <v>-0.01985223918</v>
      </c>
      <c r="B118" s="33">
        <f t="array" ref="B118:B122">B$3:B$7*B117</f>
        <v>-0.0797311721</v>
      </c>
      <c r="C118" s="33">
        <f t="array" ref="C118:C122">C$3:C$7*C117</f>
        <v>0.5084857252</v>
      </c>
      <c r="D118" s="33">
        <f t="array" ref="D118:D122">D$3:D$7*D117</f>
        <v>0.4172489194</v>
      </c>
      <c r="E118" s="33">
        <f t="array" ref="E118:E122">E$3:E$7*E117</f>
        <v>-1.139635036</v>
      </c>
      <c r="F118" s="33">
        <f t="array" ref="F118:F122">F$3:F$7*F117</f>
        <v>0.1053062849</v>
      </c>
      <c r="G118" s="33">
        <f t="array" ref="G118:G122">G$3:G$7*G117</f>
        <v>1.999668828</v>
      </c>
      <c r="H118" s="33">
        <f t="array" ref="H118:H122">H$3:H$7*H117</f>
        <v>-0.6641993347</v>
      </c>
      <c r="I118" s="33">
        <f t="shared" ref="I118:I122" si="66">SUM(A118:H118)</f>
        <v>1.127291975</v>
      </c>
      <c r="J118" s="33">
        <f t="shared" ref="J118:J122" si="67">1/(1 + EXP(-I118))</f>
        <v>0.7553387965</v>
      </c>
      <c r="K118" s="33">
        <f>J118^I$3 * (1-J118)^(1 - I$3)</f>
        <v>0.7553387965</v>
      </c>
      <c r="L118" s="33">
        <f>I$3*log(J118)+(1-I$3)*log(1-J118)</f>
        <v>-0.121858208</v>
      </c>
      <c r="M118" s="33">
        <f t="array" ref="M118:M122">J118:J122-I$3:I$7</f>
        <v>-0.2446612035</v>
      </c>
      <c r="N118" s="33">
        <f t="array" ref="N118:N122">$M118:$M122*A$3:A$7</f>
        <v>-0.06116530087</v>
      </c>
      <c r="O118" s="33">
        <f t="array" ref="O118:O122">$M118:$M122*B$3:B$7</f>
        <v>-0.2446612035</v>
      </c>
      <c r="P118" s="33">
        <f t="array" ref="P118:P122">$M118:$M122*C$3:C$7</f>
        <v>-0.09786448139</v>
      </c>
      <c r="Q118" s="33">
        <f t="array" ref="Q118:Q122">$M118:$M122*D$3:D$7</f>
        <v>-0.08155373449</v>
      </c>
      <c r="R118" s="33">
        <f t="array" ref="R118:R122">$M118:$M122*E$3:E$7</f>
        <v>-0.1223306017</v>
      </c>
      <c r="S118" s="33">
        <f t="array" ref="S118:S122">$M118:$M122*F$3:F$7</f>
        <v>-0.0349516005</v>
      </c>
      <c r="T118" s="33">
        <f t="array" ref="T118:T122">$M118:$M122*G$3:G$7</f>
        <v>-0.2446612035</v>
      </c>
      <c r="U118" s="33">
        <f t="array" ref="U118:U122">$M118:$M122*H$3:H$7</f>
        <v>-0.2446612035</v>
      </c>
    </row>
    <row r="119">
      <c r="A119" s="33">
        <v>-0.05955671753081779</v>
      </c>
      <c r="B119" s="33">
        <v>0.0</v>
      </c>
      <c r="C119" s="33">
        <v>1.2712143130841143</v>
      </c>
      <c r="D119" s="33">
        <v>1.2517467581162205</v>
      </c>
      <c r="E119" s="33">
        <v>0.0</v>
      </c>
      <c r="F119" s="33">
        <v>0.631837709553624</v>
      </c>
      <c r="G119" s="33">
        <v>0.0</v>
      </c>
      <c r="H119" s="33">
        <v>-0.6641993347466744</v>
      </c>
      <c r="I119" s="33">
        <f t="shared" si="66"/>
        <v>2.431042728</v>
      </c>
      <c r="J119" s="33">
        <f t="shared" si="67"/>
        <v>0.919164043</v>
      </c>
      <c r="K119" s="33">
        <f>J119^I$4 * (1-J119)^(1 - I$4)</f>
        <v>0.919164043</v>
      </c>
      <c r="L119" s="33">
        <f>I$4*log(J119)+(1-I$4)*log(1-J119)</f>
        <v>-0.03660697328</v>
      </c>
      <c r="M119" s="33">
        <v>-0.08083595704957858</v>
      </c>
      <c r="N119" s="33">
        <v>-0.06062696778718393</v>
      </c>
      <c r="O119" s="33">
        <v>0.0</v>
      </c>
      <c r="P119" s="33">
        <v>-0.08083595704957858</v>
      </c>
      <c r="Q119" s="33">
        <v>-0.08083595704957858</v>
      </c>
      <c r="R119" s="33">
        <v>0.0</v>
      </c>
      <c r="S119" s="33">
        <v>-0.06928796318535306</v>
      </c>
      <c r="T119" s="33">
        <v>0.0</v>
      </c>
      <c r="U119" s="33">
        <v>-0.08083595704957858</v>
      </c>
    </row>
    <row r="120">
      <c r="A120" s="33">
        <v>-0.07940895670775705</v>
      </c>
      <c r="B120" s="33">
        <v>-0.07973117209998705</v>
      </c>
      <c r="C120" s="33">
        <v>0.0</v>
      </c>
      <c r="D120" s="33">
        <v>0.0</v>
      </c>
      <c r="E120" s="33">
        <v>-2.279270072429589</v>
      </c>
      <c r="F120" s="33">
        <v>0.0</v>
      </c>
      <c r="G120" s="33">
        <v>1.9996688279000132</v>
      </c>
      <c r="H120" s="33">
        <v>-0.6641993347466744</v>
      </c>
      <c r="I120" s="33">
        <f t="shared" si="66"/>
        <v>-1.102940708</v>
      </c>
      <c r="J120" s="33">
        <f t="shared" si="67"/>
        <v>0.2491892999</v>
      </c>
      <c r="K120" s="33">
        <f>J120^I$5 * (1-J120)^(1 - I$5)</f>
        <v>0.7508107001</v>
      </c>
      <c r="L120" s="33">
        <f>I$5*log(J120)+(1-I$5)*log(1-J120)</f>
        <v>-0.1244695467</v>
      </c>
      <c r="M120" s="33">
        <v>0.2491892998877679</v>
      </c>
      <c r="N120" s="33">
        <v>0.2491892998877679</v>
      </c>
      <c r="O120" s="33">
        <v>0.2491892998877679</v>
      </c>
      <c r="P120" s="33">
        <v>0.0</v>
      </c>
      <c r="Q120" s="33">
        <v>0.0</v>
      </c>
      <c r="R120" s="33">
        <v>0.2491892998877679</v>
      </c>
      <c r="S120" s="33">
        <v>0.0</v>
      </c>
      <c r="T120" s="33">
        <v>0.2491892998877679</v>
      </c>
      <c r="U120" s="33">
        <v>0.2491892998877679</v>
      </c>
    </row>
    <row r="121">
      <c r="A121" s="33">
        <v>-0.039704478353878525</v>
      </c>
      <c r="B121" s="33">
        <v>-0.07973117209998705</v>
      </c>
      <c r="C121" s="33">
        <v>0.7627285878504685</v>
      </c>
      <c r="D121" s="33">
        <v>0.834497838744147</v>
      </c>
      <c r="E121" s="33">
        <v>-0.5698175181073972</v>
      </c>
      <c r="F121" s="33">
        <v>0.737143994479228</v>
      </c>
      <c r="G121" s="33">
        <v>1.9996688279000132</v>
      </c>
      <c r="H121" s="33">
        <v>-0.6641993347466744</v>
      </c>
      <c r="I121" s="33">
        <f t="shared" si="66"/>
        <v>2.980586746</v>
      </c>
      <c r="J121" s="33">
        <f t="shared" si="67"/>
        <v>0.9516893551</v>
      </c>
      <c r="K121" s="33">
        <f>J121^I$6 * (1-J121)^(1 - I$6)</f>
        <v>0.9516893551</v>
      </c>
      <c r="L121" s="33">
        <f>I$6*log(J121)+(1-I$6)*log(1-J121)</f>
        <v>-0.02150478837</v>
      </c>
      <c r="M121" s="33">
        <v>-0.04831064492423742</v>
      </c>
      <c r="N121" s="33">
        <v>-0.02415532246211871</v>
      </c>
      <c r="O121" s="33">
        <v>-0.04831064492423742</v>
      </c>
      <c r="P121" s="33">
        <v>-0.02898638695454245</v>
      </c>
      <c r="Q121" s="33">
        <v>-0.03220709661615828</v>
      </c>
      <c r="R121" s="33">
        <v>-0.012077661231059356</v>
      </c>
      <c r="S121" s="33">
        <v>-0.04831064492423742</v>
      </c>
      <c r="T121" s="33">
        <v>-0.04831064492423742</v>
      </c>
      <c r="U121" s="33">
        <v>-0.04831064492423742</v>
      </c>
    </row>
    <row r="122">
      <c r="A122" s="33">
        <v>0.0</v>
      </c>
      <c r="B122" s="33">
        <v>0.0</v>
      </c>
      <c r="C122" s="33">
        <v>0.2542428626168229</v>
      </c>
      <c r="D122" s="33">
        <v>0.20862445968603674</v>
      </c>
      <c r="E122" s="33">
        <v>-1.7094525543221917</v>
      </c>
      <c r="F122" s="33">
        <v>0.05265314246280199</v>
      </c>
      <c r="G122" s="33">
        <v>0.0</v>
      </c>
      <c r="H122" s="33">
        <v>-0.6641993347466744</v>
      </c>
      <c r="I122" s="33">
        <f t="shared" si="66"/>
        <v>-1.858131424</v>
      </c>
      <c r="J122" s="33">
        <f t="shared" si="67"/>
        <v>0.1349209984</v>
      </c>
      <c r="K122" s="33">
        <f>J122^I$7 * (1-J122)^(1 - I$7)</f>
        <v>0.8650790016</v>
      </c>
      <c r="L122" s="33">
        <f>I$7*log(J122)+(1-I$7)*log(1-J122)</f>
        <v>-0.06294422964</v>
      </c>
      <c r="M122" s="33">
        <v>0.13492099836275867</v>
      </c>
      <c r="N122" s="33">
        <v>0.0</v>
      </c>
      <c r="O122" s="33">
        <v>0.0</v>
      </c>
      <c r="P122" s="33">
        <v>0.026984199672551737</v>
      </c>
      <c r="Q122" s="33">
        <v>0.022486833060459777</v>
      </c>
      <c r="R122" s="33">
        <v>0.101190748772069</v>
      </c>
      <c r="S122" s="33">
        <v>0.009637214168768476</v>
      </c>
      <c r="T122" s="33">
        <v>0.0</v>
      </c>
      <c r="U122" s="33">
        <v>0.13492099836275867</v>
      </c>
    </row>
    <row r="123">
      <c r="L123" s="21" t="s">
        <v>38</v>
      </c>
      <c r="M123" s="33">
        <f t="array" ref="M123">SQRT(AVERAGE(M118:M122^2))</f>
        <v>0.1726420909</v>
      </c>
      <c r="N123" s="33">
        <f t="shared" ref="N123:U123" si="68">AVERAGE(N118:N122)</f>
        <v>0.02064834175</v>
      </c>
      <c r="O123" s="33">
        <f t="shared" si="68"/>
        <v>-0.0087565097</v>
      </c>
      <c r="P123" s="33">
        <f t="shared" si="68"/>
        <v>-0.03614052514</v>
      </c>
      <c r="Q123" s="33">
        <f t="shared" si="68"/>
        <v>-0.03442199102</v>
      </c>
      <c r="R123" s="33">
        <f t="shared" si="68"/>
        <v>0.04319435714</v>
      </c>
      <c r="S123" s="33">
        <f t="shared" si="68"/>
        <v>-0.02858259889</v>
      </c>
      <c r="T123" s="33">
        <f t="shared" si="68"/>
        <v>-0.0087565097</v>
      </c>
      <c r="U123" s="33">
        <f t="shared" si="68"/>
        <v>0.002060498562</v>
      </c>
    </row>
    <row r="124">
      <c r="A124" s="21">
        <f t="shared" ref="A124:H124" si="69">A117-N123*$B$8</f>
        <v>-0.1000572985</v>
      </c>
      <c r="B124" s="21">
        <f t="shared" si="69"/>
        <v>-0.0709746624</v>
      </c>
      <c r="C124" s="21">
        <f t="shared" si="69"/>
        <v>1.307354838</v>
      </c>
      <c r="D124" s="21">
        <f t="shared" si="69"/>
        <v>1.286168749</v>
      </c>
      <c r="E124" s="21">
        <f t="shared" si="69"/>
        <v>-2.32246443</v>
      </c>
      <c r="F124" s="21">
        <f t="shared" si="69"/>
        <v>0.7657265934</v>
      </c>
      <c r="G124" s="21">
        <f t="shared" si="69"/>
        <v>2.008425338</v>
      </c>
      <c r="H124" s="21">
        <f t="shared" si="69"/>
        <v>-0.6662598333</v>
      </c>
      <c r="I124" s="21" t="s">
        <v>35</v>
      </c>
      <c r="J124" s="21" t="s">
        <v>36</v>
      </c>
      <c r="K124" s="21" t="s">
        <v>39</v>
      </c>
      <c r="L124" s="21" t="s">
        <v>40</v>
      </c>
      <c r="M124" s="28" t="s">
        <v>37</v>
      </c>
      <c r="N124" s="31" t="s">
        <v>0</v>
      </c>
      <c r="O124" s="32" t="s">
        <v>1</v>
      </c>
      <c r="P124" s="32" t="s">
        <v>2</v>
      </c>
      <c r="Q124" s="32" t="s">
        <v>3</v>
      </c>
      <c r="R124" s="32" t="s">
        <v>4</v>
      </c>
      <c r="S124" s="32" t="s">
        <v>5</v>
      </c>
      <c r="T124" s="32" t="s">
        <v>6</v>
      </c>
      <c r="U124" s="32" t="s">
        <v>16</v>
      </c>
    </row>
    <row r="125">
      <c r="A125" s="33">
        <f t="array" ref="A125:A129">A$3:A$7*A124</f>
        <v>-0.02501432462</v>
      </c>
      <c r="B125" s="33">
        <f t="array" ref="B125:B129">B$3:B$7*B124</f>
        <v>-0.0709746624</v>
      </c>
      <c r="C125" s="33">
        <f t="array" ref="C125:C129">C$3:C$7*C124</f>
        <v>0.5229419353</v>
      </c>
      <c r="D125" s="33">
        <f t="array" ref="D125:D129">D$3:D$7*D124</f>
        <v>0.4287229164</v>
      </c>
      <c r="E125" s="33">
        <f t="array" ref="E125:E129">E$3:E$7*E124</f>
        <v>-1.161232215</v>
      </c>
      <c r="F125" s="33">
        <f t="array" ref="F125:F129">F$3:F$7*F124</f>
        <v>0.1093895133</v>
      </c>
      <c r="G125" s="33">
        <f t="array" ref="G125:G129">G$3:G$7*G124</f>
        <v>2.008425338</v>
      </c>
      <c r="H125" s="33">
        <f t="array" ref="H125:H129">H$3:H$7*H124</f>
        <v>-0.6662598333</v>
      </c>
      <c r="I125" s="33">
        <f t="shared" ref="I125:I129" si="70">SUM(A125:H125)</f>
        <v>1.145998667</v>
      </c>
      <c r="J125" s="33">
        <f t="shared" ref="J125:J129" si="71">1/(1 + EXP(-I125))</f>
        <v>0.7587792985</v>
      </c>
      <c r="K125" s="33">
        <f>J125^I$3 * (1-J125)^(1 - I$3)</f>
        <v>0.7587792985</v>
      </c>
      <c r="L125" s="33">
        <f>I$3*log(J125)+(1-I$3)*log(1-J125)</f>
        <v>-0.1198845263</v>
      </c>
      <c r="M125" s="33">
        <f t="array" ref="M125:M129">J125:J129-I$3:I$7</f>
        <v>-0.2412207015</v>
      </c>
      <c r="N125" s="33">
        <f t="array" ref="N125:N129">$M125:$M129*A$3:A$7</f>
        <v>-0.06030517538</v>
      </c>
      <c r="O125" s="33">
        <f t="array" ref="O125:O129">$M125:$M129*B$3:B$7</f>
        <v>-0.2412207015</v>
      </c>
      <c r="P125" s="33">
        <f t="array" ref="P125:P129">$M125:$M129*C$3:C$7</f>
        <v>-0.0964882806</v>
      </c>
      <c r="Q125" s="33">
        <f t="array" ref="Q125:Q129">$M125:$M129*D$3:D$7</f>
        <v>-0.0804069005</v>
      </c>
      <c r="R125" s="33">
        <f t="array" ref="R125:R129">$M125:$M129*E$3:E$7</f>
        <v>-0.1206103508</v>
      </c>
      <c r="S125" s="33">
        <f t="array" ref="S125:S129">$M125:$M129*F$3:F$7</f>
        <v>-0.03446010021</v>
      </c>
      <c r="T125" s="33">
        <f t="array" ref="T125:T129">$M125:$M129*G$3:G$7</f>
        <v>-0.2412207015</v>
      </c>
      <c r="U125" s="33">
        <f t="array" ref="U125:U129">$M125:$M129*H$3:H$7</f>
        <v>-0.2412207015</v>
      </c>
    </row>
    <row r="126">
      <c r="A126" s="33">
        <v>-0.07504297384664206</v>
      </c>
      <c r="B126" s="33">
        <v>0.0</v>
      </c>
      <c r="C126" s="33">
        <v>1.3073548382276452</v>
      </c>
      <c r="D126" s="33">
        <v>1.2861687491349567</v>
      </c>
      <c r="E126" s="33">
        <v>0.0</v>
      </c>
      <c r="F126" s="33">
        <v>0.6563370800283416</v>
      </c>
      <c r="G126" s="33">
        <v>0.0</v>
      </c>
      <c r="H126" s="33">
        <v>-0.6662598333089738</v>
      </c>
      <c r="I126" s="33">
        <f t="shared" si="70"/>
        <v>2.50855786</v>
      </c>
      <c r="J126" s="33">
        <f t="shared" si="71"/>
        <v>0.9247395844</v>
      </c>
      <c r="K126" s="33">
        <f>J126^I$4 * (1-J126)^(1 - I$4)</f>
        <v>0.9247395844</v>
      </c>
      <c r="L126" s="33">
        <f>I$4*log(J126)+(1-I$4)*log(1-J126)</f>
        <v>-0.03398055156</v>
      </c>
      <c r="M126" s="33">
        <v>-0.07526041559455876</v>
      </c>
      <c r="N126" s="33">
        <v>-0.05644531169591907</v>
      </c>
      <c r="O126" s="33">
        <v>0.0</v>
      </c>
      <c r="P126" s="33">
        <v>-0.07526041559455876</v>
      </c>
      <c r="Q126" s="33">
        <v>-0.07526041559455876</v>
      </c>
      <c r="R126" s="33">
        <v>0.0</v>
      </c>
      <c r="S126" s="33">
        <v>-0.06450892765247894</v>
      </c>
      <c r="T126" s="33">
        <v>0.0</v>
      </c>
      <c r="U126" s="33">
        <v>-0.07526041559455876</v>
      </c>
    </row>
    <row r="127">
      <c r="A127" s="33">
        <v>-0.10005729846218941</v>
      </c>
      <c r="B127" s="33">
        <v>-0.07097466239965043</v>
      </c>
      <c r="C127" s="33">
        <v>0.0</v>
      </c>
      <c r="D127" s="33">
        <v>0.0</v>
      </c>
      <c r="E127" s="33">
        <v>-2.3224644295688233</v>
      </c>
      <c r="F127" s="33">
        <v>0.0</v>
      </c>
      <c r="G127" s="33">
        <v>2.00842533760035</v>
      </c>
      <c r="H127" s="33">
        <v>-0.6662598333089738</v>
      </c>
      <c r="I127" s="33">
        <f t="shared" si="70"/>
        <v>-1.151330886</v>
      </c>
      <c r="J127" s="33">
        <f t="shared" si="71"/>
        <v>0.2402460752</v>
      </c>
      <c r="K127" s="33">
        <f>J127^I$5 * (1-J127)^(1 - I$5)</f>
        <v>0.7597539248</v>
      </c>
      <c r="L127" s="33">
        <f>I$5*log(J127)+(1-I$5)*log(1-J127)</f>
        <v>-0.1193270477</v>
      </c>
      <c r="M127" s="33">
        <v>0.24024607522801528</v>
      </c>
      <c r="N127" s="33">
        <v>0.24024607522801528</v>
      </c>
      <c r="O127" s="33">
        <v>0.24024607522801528</v>
      </c>
      <c r="P127" s="33">
        <v>0.0</v>
      </c>
      <c r="Q127" s="33">
        <v>0.0</v>
      </c>
      <c r="R127" s="33">
        <v>0.24024607522801528</v>
      </c>
      <c r="S127" s="33">
        <v>0.0</v>
      </c>
      <c r="T127" s="33">
        <v>0.24024607522801528</v>
      </c>
      <c r="U127" s="33">
        <v>0.24024607522801528</v>
      </c>
    </row>
    <row r="128">
      <c r="A128" s="33">
        <v>-0.05002864923109471</v>
      </c>
      <c r="B128" s="33">
        <v>-0.07097466239965043</v>
      </c>
      <c r="C128" s="33">
        <v>0.784412902936587</v>
      </c>
      <c r="D128" s="33">
        <v>0.8574458327566378</v>
      </c>
      <c r="E128" s="33">
        <v>-0.5806161073922058</v>
      </c>
      <c r="F128" s="33">
        <v>0.7657265933663985</v>
      </c>
      <c r="G128" s="33">
        <v>2.00842533760035</v>
      </c>
      <c r="H128" s="33">
        <v>-0.6662598333089738</v>
      </c>
      <c r="I128" s="33">
        <f t="shared" si="70"/>
        <v>3.048131414</v>
      </c>
      <c r="J128" s="33">
        <f t="shared" si="71"/>
        <v>0.9547017858</v>
      </c>
      <c r="K128" s="33">
        <f>J128^I$6 * (1-J128)^(1 - I$6)</f>
        <v>0.9547017858</v>
      </c>
      <c r="L128" s="33">
        <f>I$6*log(J128)+(1-I$6)*log(1-J128)</f>
        <v>-0.02013226509</v>
      </c>
      <c r="M128" s="33">
        <v>-0.04529821424891389</v>
      </c>
      <c r="N128" s="33">
        <v>-0.022649107124456946</v>
      </c>
      <c r="O128" s="33">
        <v>-0.04529821424891389</v>
      </c>
      <c r="P128" s="33">
        <v>-0.027178928549348336</v>
      </c>
      <c r="Q128" s="33">
        <v>-0.030198809499275926</v>
      </c>
      <c r="R128" s="33">
        <v>-0.011324553562228473</v>
      </c>
      <c r="S128" s="33">
        <v>-0.04529821424891389</v>
      </c>
      <c r="T128" s="33">
        <v>-0.04529821424891389</v>
      </c>
      <c r="U128" s="33">
        <v>-0.04529821424891389</v>
      </c>
    </row>
    <row r="129">
      <c r="A129" s="33">
        <v>0.0</v>
      </c>
      <c r="B129" s="33">
        <v>0.0</v>
      </c>
      <c r="C129" s="33">
        <v>0.2614709676455291</v>
      </c>
      <c r="D129" s="33">
        <v>0.21436145818915944</v>
      </c>
      <c r="E129" s="33">
        <v>-1.7418483221766174</v>
      </c>
      <c r="F129" s="33">
        <v>0.05469475666902846</v>
      </c>
      <c r="G129" s="33">
        <v>0.0</v>
      </c>
      <c r="H129" s="33">
        <v>-0.6662598333089738</v>
      </c>
      <c r="I129" s="33">
        <f t="shared" si="70"/>
        <v>-1.877580973</v>
      </c>
      <c r="J129" s="33">
        <f t="shared" si="71"/>
        <v>0.1326669751</v>
      </c>
      <c r="K129" s="33">
        <f>J129^I$7 * (1-J129)^(1 - I$7)</f>
        <v>0.8673330249</v>
      </c>
      <c r="L129" s="33">
        <f>I$7*log(J129)+(1-I$7)*log(1-J129)</f>
        <v>-0.06181411695</v>
      </c>
      <c r="M129" s="33">
        <v>0.13266697513720532</v>
      </c>
      <c r="N129" s="33">
        <v>0.0</v>
      </c>
      <c r="O129" s="33">
        <v>0.0</v>
      </c>
      <c r="P129" s="33">
        <v>0.026533395027441065</v>
      </c>
      <c r="Q129" s="33">
        <v>0.02211116252286755</v>
      </c>
      <c r="R129" s="33">
        <v>0.09950023135290399</v>
      </c>
      <c r="S129" s="33">
        <v>0.00947621250980038</v>
      </c>
      <c r="T129" s="33">
        <v>0.0</v>
      </c>
      <c r="U129" s="33">
        <v>0.13266697513720532</v>
      </c>
    </row>
    <row r="130">
      <c r="L130" s="21" t="s">
        <v>38</v>
      </c>
      <c r="M130" s="33">
        <f t="array" ref="M130">SQRT(AVERAGE(M125:M129^2))</f>
        <v>0.1680608153</v>
      </c>
      <c r="N130" s="33">
        <f t="shared" ref="N130:U130" si="72">AVERAGE(N125:N129)</f>
        <v>0.02016929621</v>
      </c>
      <c r="O130" s="33">
        <f t="shared" si="72"/>
        <v>-0.009254568105</v>
      </c>
      <c r="P130" s="33">
        <f t="shared" si="72"/>
        <v>-0.03447884594</v>
      </c>
      <c r="Q130" s="33">
        <f t="shared" si="72"/>
        <v>-0.03275099261</v>
      </c>
      <c r="R130" s="33">
        <f t="shared" si="72"/>
        <v>0.04156228045</v>
      </c>
      <c r="S130" s="33">
        <f t="shared" si="72"/>
        <v>-0.02695820592</v>
      </c>
      <c r="T130" s="33">
        <f t="shared" si="72"/>
        <v>-0.009254568105</v>
      </c>
      <c r="U130" s="33">
        <f t="shared" si="72"/>
        <v>0.002226743804</v>
      </c>
    </row>
    <row r="131">
      <c r="A131" s="21">
        <f t="shared" ref="A131:H131" si="73">A124-N130*$B$8</f>
        <v>-0.1202265947</v>
      </c>
      <c r="B131" s="21">
        <f t="shared" si="73"/>
        <v>-0.0617200943</v>
      </c>
      <c r="C131" s="21">
        <f t="shared" si="73"/>
        <v>1.341833684</v>
      </c>
      <c r="D131" s="21">
        <f t="shared" si="73"/>
        <v>1.318919742</v>
      </c>
      <c r="E131" s="21">
        <f t="shared" si="73"/>
        <v>-2.36402671</v>
      </c>
      <c r="F131" s="21">
        <f t="shared" si="73"/>
        <v>0.7926847993</v>
      </c>
      <c r="G131" s="21">
        <f t="shared" si="73"/>
        <v>2.017679906</v>
      </c>
      <c r="H131" s="21">
        <f t="shared" si="73"/>
        <v>-0.6684865771</v>
      </c>
      <c r="I131" s="21" t="s">
        <v>35</v>
      </c>
      <c r="J131" s="21" t="s">
        <v>36</v>
      </c>
      <c r="K131" s="21" t="s">
        <v>39</v>
      </c>
      <c r="L131" s="21" t="s">
        <v>40</v>
      </c>
      <c r="M131" s="28" t="s">
        <v>37</v>
      </c>
      <c r="N131" s="31" t="s">
        <v>0</v>
      </c>
      <c r="O131" s="32" t="s">
        <v>1</v>
      </c>
      <c r="P131" s="32" t="s">
        <v>2</v>
      </c>
      <c r="Q131" s="32" t="s">
        <v>3</v>
      </c>
      <c r="R131" s="32" t="s">
        <v>4</v>
      </c>
      <c r="S131" s="32" t="s">
        <v>5</v>
      </c>
      <c r="T131" s="32" t="s">
        <v>6</v>
      </c>
      <c r="U131" s="32" t="s">
        <v>16</v>
      </c>
    </row>
    <row r="132">
      <c r="A132" s="33">
        <f t="array" ref="A132:A136">A$3:A$7*A131</f>
        <v>-0.03005664867</v>
      </c>
      <c r="B132" s="33">
        <f t="array" ref="B132:B136">B$3:B$7*B131</f>
        <v>-0.0617200943</v>
      </c>
      <c r="C132" s="33">
        <f t="array" ref="C132:C136">C$3:C$7*C131</f>
        <v>0.5367334737</v>
      </c>
      <c r="D132" s="33">
        <f t="array" ref="D132:D136">D$3:D$7*D131</f>
        <v>0.4396399139</v>
      </c>
      <c r="E132" s="33">
        <f t="array" ref="E132:E136">E$3:E$7*E131</f>
        <v>-1.182013355</v>
      </c>
      <c r="F132" s="33">
        <f t="array" ref="F132:F136">F$3:F$7*F131</f>
        <v>0.1132406856</v>
      </c>
      <c r="G132" s="33">
        <f t="array" ref="G132:G136">G$3:G$7*G131</f>
        <v>2.017679906</v>
      </c>
      <c r="H132" s="33">
        <f t="array" ref="H132:H136">H$3:H$7*H131</f>
        <v>-0.6684865771</v>
      </c>
      <c r="I132" s="33">
        <f t="shared" ref="I132:I136" si="74">SUM(A132:H132)</f>
        <v>1.165017304</v>
      </c>
      <c r="J132" s="33">
        <f t="shared" ref="J132:J136" si="75">1/(1 + EXP(-I132))</f>
        <v>0.7622431894</v>
      </c>
      <c r="K132" s="33">
        <f>J132^I$3 * (1-J132)^(1 - I$3)</f>
        <v>0.7622431894</v>
      </c>
      <c r="L132" s="33">
        <f>I$3*log(J132)+(1-I$3)*log(1-J132)</f>
        <v>-0.1179064473</v>
      </c>
      <c r="M132" s="33">
        <f t="array" ref="M132:M136">J132:J136-I$3:I$7</f>
        <v>-0.2377568106</v>
      </c>
      <c r="N132" s="33">
        <f t="array" ref="N132:N136">$M132:$M136*A$3:A$7</f>
        <v>-0.05943920265</v>
      </c>
      <c r="O132" s="33">
        <f t="array" ref="O132:O136">$M132:$M136*B$3:B$7</f>
        <v>-0.2377568106</v>
      </c>
      <c r="P132" s="33">
        <f t="array" ref="P132:P136">$M132:$M136*C$3:C$7</f>
        <v>-0.09510272425</v>
      </c>
      <c r="Q132" s="33">
        <f t="array" ref="Q132:Q136">$M132:$M136*D$3:D$7</f>
        <v>-0.0792522702</v>
      </c>
      <c r="R132" s="33">
        <f t="array" ref="R132:R136">$M132:$M136*E$3:E$7</f>
        <v>-0.1188784053</v>
      </c>
      <c r="S132" s="33">
        <f t="array" ref="S132:S136">$M132:$M136*F$3:F$7</f>
        <v>-0.03396525866</v>
      </c>
      <c r="T132" s="33">
        <f t="array" ref="T132:T136">$M132:$M136*G$3:G$7</f>
        <v>-0.2377568106</v>
      </c>
      <c r="U132" s="33">
        <f t="array" ref="U132:U136">$M132:$M136*H$3:H$7</f>
        <v>-0.2377568106</v>
      </c>
    </row>
    <row r="133">
      <c r="A133" s="33">
        <v>-0.09016994600145203</v>
      </c>
      <c r="B133" s="33">
        <v>0.0</v>
      </c>
      <c r="C133" s="33">
        <v>1.3418336841711216</v>
      </c>
      <c r="D133" s="33">
        <v>1.3189197417493028</v>
      </c>
      <c r="E133" s="33">
        <v>0.0</v>
      </c>
      <c r="F133" s="33">
        <v>0.6794441136751196</v>
      </c>
      <c r="G133" s="33">
        <v>0.0</v>
      </c>
      <c r="H133" s="33">
        <v>-0.6684865771128652</v>
      </c>
      <c r="I133" s="33">
        <f t="shared" si="74"/>
        <v>2.581541016</v>
      </c>
      <c r="J133" s="33">
        <f t="shared" si="75"/>
        <v>0.929664101</v>
      </c>
      <c r="K133" s="33">
        <f>J133^I$4 * (1-J133)^(1 - I$4)</f>
        <v>0.929664101</v>
      </c>
      <c r="L133" s="33">
        <f>I$4*log(J133)+(1-I$4)*log(1-J133)</f>
        <v>-0.031673939</v>
      </c>
      <c r="M133" s="33">
        <v>-0.07033589899268988</v>
      </c>
      <c r="N133" s="33">
        <v>-0.05275192424451741</v>
      </c>
      <c r="O133" s="33">
        <v>0.0</v>
      </c>
      <c r="P133" s="33">
        <v>-0.07033589899268988</v>
      </c>
      <c r="Q133" s="33">
        <v>-0.07033589899268988</v>
      </c>
      <c r="R133" s="33">
        <v>0.0</v>
      </c>
      <c r="S133" s="33">
        <v>-0.06028791342230561</v>
      </c>
      <c r="T133" s="33">
        <v>0.0</v>
      </c>
      <c r="U133" s="33">
        <v>-0.07033589899268988</v>
      </c>
    </row>
    <row r="134">
      <c r="A134" s="33">
        <v>-0.12022659466860272</v>
      </c>
      <c r="B134" s="33">
        <v>-0.061720094295012504</v>
      </c>
      <c r="C134" s="33">
        <v>0.0</v>
      </c>
      <c r="D134" s="33">
        <v>0.0</v>
      </c>
      <c r="E134" s="33">
        <v>-2.3640267100223324</v>
      </c>
      <c r="F134" s="33">
        <v>0.0</v>
      </c>
      <c r="G134" s="33">
        <v>2.0176799057049877</v>
      </c>
      <c r="H134" s="33">
        <v>-0.6684865771128652</v>
      </c>
      <c r="I134" s="33">
        <f t="shared" si="74"/>
        <v>-1.19678007</v>
      </c>
      <c r="J134" s="33">
        <f t="shared" si="75"/>
        <v>0.2320485193</v>
      </c>
      <c r="K134" s="33">
        <f>J134^I$5 * (1-J134)^(1 - I$5)</f>
        <v>0.7679514807</v>
      </c>
      <c r="L134" s="33">
        <f>I$5*log(J134)+(1-I$5)*log(1-J134)</f>
        <v>-0.1146662179</v>
      </c>
      <c r="M134" s="33">
        <v>0.23204851927715953</v>
      </c>
      <c r="N134" s="33">
        <v>0.23204851927715953</v>
      </c>
      <c r="O134" s="33">
        <v>0.23204851927715953</v>
      </c>
      <c r="P134" s="33">
        <v>0.0</v>
      </c>
      <c r="Q134" s="33">
        <v>0.0</v>
      </c>
      <c r="R134" s="33">
        <v>0.23204851927715953</v>
      </c>
      <c r="S134" s="33">
        <v>0.0</v>
      </c>
      <c r="T134" s="33">
        <v>0.23204851927715953</v>
      </c>
      <c r="U134" s="33">
        <v>0.23204851927715953</v>
      </c>
    </row>
    <row r="135">
      <c r="A135" s="33">
        <v>-0.06011329733430136</v>
      </c>
      <c r="B135" s="33">
        <v>-0.061720094295012504</v>
      </c>
      <c r="C135" s="33">
        <v>0.8051002105026729</v>
      </c>
      <c r="D135" s="33">
        <v>0.8792798278328685</v>
      </c>
      <c r="E135" s="33">
        <v>-0.5910066775055831</v>
      </c>
      <c r="F135" s="33">
        <v>0.7926847992876396</v>
      </c>
      <c r="G135" s="33">
        <v>2.0176799057049877</v>
      </c>
      <c r="H135" s="33">
        <v>-0.6684865771128652</v>
      </c>
      <c r="I135" s="33">
        <f t="shared" si="74"/>
        <v>3.113418097</v>
      </c>
      <c r="J135" s="33">
        <f t="shared" si="75"/>
        <v>0.9574428477</v>
      </c>
      <c r="K135" s="33">
        <f>J135^I$6 * (1-J135)^(1 - I$6)</f>
        <v>0.9574428477</v>
      </c>
      <c r="L135" s="33">
        <f>I$6*log(J135)+(1-I$6)*log(1-J135)</f>
        <v>-0.01888714078</v>
      </c>
      <c r="M135" s="33">
        <v>-0.042557152322668323</v>
      </c>
      <c r="N135" s="33">
        <v>-0.021278576161334162</v>
      </c>
      <c r="O135" s="33">
        <v>-0.042557152322668323</v>
      </c>
      <c r="P135" s="33">
        <v>-0.025534291393600993</v>
      </c>
      <c r="Q135" s="33">
        <v>-0.02837143488177888</v>
      </c>
      <c r="R135" s="33">
        <v>-0.010639288080667081</v>
      </c>
      <c r="S135" s="33">
        <v>-0.042557152322668323</v>
      </c>
      <c r="T135" s="33">
        <v>-0.042557152322668323</v>
      </c>
      <c r="U135" s="33">
        <v>-0.042557152322668323</v>
      </c>
    </row>
    <row r="136">
      <c r="A136" s="33">
        <v>0.0</v>
      </c>
      <c r="B136" s="33">
        <v>0.0</v>
      </c>
      <c r="C136" s="33">
        <v>0.26836673683422435</v>
      </c>
      <c r="D136" s="33">
        <v>0.21981995695821713</v>
      </c>
      <c r="E136" s="33">
        <v>-1.7730200325167493</v>
      </c>
      <c r="F136" s="33">
        <v>0.056620342806259966</v>
      </c>
      <c r="G136" s="33">
        <v>0.0</v>
      </c>
      <c r="H136" s="33">
        <v>-0.6684865771128652</v>
      </c>
      <c r="I136" s="33">
        <f t="shared" si="74"/>
        <v>-1.896699573</v>
      </c>
      <c r="J136" s="33">
        <f t="shared" si="75"/>
        <v>0.1304824738</v>
      </c>
      <c r="K136" s="33">
        <f>J136^I$7 * (1-J136)^(1 - I$7)</f>
        <v>0.8695175262</v>
      </c>
      <c r="L136" s="33">
        <f>I$7*log(J136)+(1-I$7)*log(1-J136)</f>
        <v>-0.06072165982</v>
      </c>
      <c r="M136" s="33">
        <v>0.13048247378202027</v>
      </c>
      <c r="N136" s="33">
        <v>0.0</v>
      </c>
      <c r="O136" s="33">
        <v>0.0</v>
      </c>
      <c r="P136" s="33">
        <v>0.026096494756404055</v>
      </c>
      <c r="Q136" s="33">
        <v>0.021747078963670043</v>
      </c>
      <c r="R136" s="33">
        <v>0.0978618553365152</v>
      </c>
      <c r="S136" s="33">
        <v>0.009320176698715732</v>
      </c>
      <c r="T136" s="33">
        <v>0.0</v>
      </c>
      <c r="U136" s="33">
        <v>0.13048247378202027</v>
      </c>
    </row>
    <row r="137">
      <c r="L137" s="21" t="s">
        <v>38</v>
      </c>
      <c r="M137" s="33">
        <f t="array" ref="M137">SQRT(AVERAGE(M132:M136^2))</f>
        <v>0.1638039939</v>
      </c>
      <c r="N137" s="33">
        <f t="shared" ref="N137:U137" si="76">AVERAGE(N132:N136)</f>
        <v>0.01971576324</v>
      </c>
      <c r="O137" s="33">
        <f t="shared" si="76"/>
        <v>-0.009653088732</v>
      </c>
      <c r="P137" s="33">
        <f t="shared" si="76"/>
        <v>-0.03297528398</v>
      </c>
      <c r="Q137" s="33">
        <f t="shared" si="76"/>
        <v>-0.03124250502</v>
      </c>
      <c r="R137" s="33">
        <f t="shared" si="76"/>
        <v>0.04007853625</v>
      </c>
      <c r="S137" s="33">
        <f t="shared" si="76"/>
        <v>-0.02549802954</v>
      </c>
      <c r="T137" s="33">
        <f t="shared" si="76"/>
        <v>-0.009653088732</v>
      </c>
      <c r="U137" s="33">
        <f t="shared" si="76"/>
        <v>0.002376226226</v>
      </c>
    </row>
    <row r="138">
      <c r="A138" s="21">
        <f t="shared" ref="A138:H138" si="77">A131-N137*$B$8</f>
        <v>-0.1399423579</v>
      </c>
      <c r="B138" s="21">
        <f t="shared" si="77"/>
        <v>-0.05206700556</v>
      </c>
      <c r="C138" s="21">
        <f t="shared" si="77"/>
        <v>1.374808968</v>
      </c>
      <c r="D138" s="21">
        <f t="shared" si="77"/>
        <v>1.350162247</v>
      </c>
      <c r="E138" s="21">
        <f t="shared" si="77"/>
        <v>-2.404105246</v>
      </c>
      <c r="F138" s="21">
        <f t="shared" si="77"/>
        <v>0.8181828288</v>
      </c>
      <c r="G138" s="21">
        <f t="shared" si="77"/>
        <v>2.027332994</v>
      </c>
      <c r="H138" s="21">
        <f t="shared" si="77"/>
        <v>-0.6708628033</v>
      </c>
      <c r="I138" s="21" t="s">
        <v>35</v>
      </c>
      <c r="J138" s="21" t="s">
        <v>36</v>
      </c>
      <c r="K138" s="21" t="s">
        <v>39</v>
      </c>
      <c r="L138" s="21" t="s">
        <v>40</v>
      </c>
      <c r="M138" s="28" t="s">
        <v>37</v>
      </c>
      <c r="N138" s="31" t="s">
        <v>0</v>
      </c>
      <c r="O138" s="32" t="s">
        <v>1</v>
      </c>
      <c r="P138" s="32" t="s">
        <v>2</v>
      </c>
      <c r="Q138" s="32" t="s">
        <v>3</v>
      </c>
      <c r="R138" s="32" t="s">
        <v>4</v>
      </c>
      <c r="S138" s="32" t="s">
        <v>5</v>
      </c>
      <c r="T138" s="32" t="s">
        <v>6</v>
      </c>
      <c r="U138" s="32" t="s">
        <v>16</v>
      </c>
    </row>
    <row r="139">
      <c r="A139" s="33">
        <f t="array" ref="A139:A143">A$3:A$7*A138</f>
        <v>-0.03498558948</v>
      </c>
      <c r="B139" s="33">
        <f t="array" ref="B139:B143">B$3:B$7*B138</f>
        <v>-0.05206700556</v>
      </c>
      <c r="C139" s="33">
        <f t="array" ref="C139:C143">C$3:C$7*C138</f>
        <v>0.5499235873</v>
      </c>
      <c r="D139" s="33">
        <f t="array" ref="D139:D143">D$3:D$7*D138</f>
        <v>0.4500540823</v>
      </c>
      <c r="E139" s="33">
        <f t="array" ref="E139:E143">E$3:E$7*E138</f>
        <v>-1.202052623</v>
      </c>
      <c r="F139" s="33">
        <f t="array" ref="F139:F143">F$3:F$7*F138</f>
        <v>0.1168832613</v>
      </c>
      <c r="G139" s="33">
        <f t="array" ref="G139:G143">G$3:G$7*G138</f>
        <v>2.027332994</v>
      </c>
      <c r="H139" s="33">
        <f t="array" ref="H139:H143">H$3:H$7*H138</f>
        <v>-0.6708628033</v>
      </c>
      <c r="I139" s="33">
        <f t="shared" ref="I139:I143" si="78">SUM(A139:H139)</f>
        <v>1.184225904</v>
      </c>
      <c r="J139" s="33">
        <f t="shared" ref="J139:J143" si="79">1/(1 + EXP(-I139))</f>
        <v>0.7657067816</v>
      </c>
      <c r="K139" s="33">
        <f>J139^I$3 * (1-J139)^(1 - I$3)</f>
        <v>0.7657067816</v>
      </c>
      <c r="L139" s="33">
        <f>I$3*log(J139)+(1-I$3)*log(1-J139)</f>
        <v>-0.1159375065</v>
      </c>
      <c r="M139" s="33">
        <f t="array" ref="M139:M143">J139:J143-I$3:I$7</f>
        <v>-0.2342932184</v>
      </c>
      <c r="N139" s="33">
        <f t="array" ref="N139:N143">$M139:$M143*A$3:A$7</f>
        <v>-0.0585733046</v>
      </c>
      <c r="O139" s="33">
        <f t="array" ref="O139:O143">$M139:$M143*B$3:B$7</f>
        <v>-0.2342932184</v>
      </c>
      <c r="P139" s="33">
        <f t="array" ref="P139:P143">$M139:$M143*C$3:C$7</f>
        <v>-0.09371728737</v>
      </c>
      <c r="Q139" s="33">
        <f t="array" ref="Q139:Q143">$M139:$M143*D$3:D$7</f>
        <v>-0.07809773947</v>
      </c>
      <c r="R139" s="33">
        <f t="array" ref="R139:R143">$M139:$M143*E$3:E$7</f>
        <v>-0.1171466092</v>
      </c>
      <c r="S139" s="33">
        <f t="array" ref="S139:S143">$M139:$M143*F$3:F$7</f>
        <v>-0.03347045977</v>
      </c>
      <c r="T139" s="33">
        <f t="array" ref="T139:T143">$M139:$M143*G$3:G$7</f>
        <v>-0.2342932184</v>
      </c>
      <c r="U139" s="33">
        <f t="array" ref="U139:U143">$M139:$M143*H$3:H$7</f>
        <v>-0.2342932184</v>
      </c>
    </row>
    <row r="140">
      <c r="A140" s="33">
        <v>-0.10495676843412922</v>
      </c>
      <c r="B140" s="33">
        <v>0.0</v>
      </c>
      <c r="C140" s="33">
        <v>1.3748089681462061</v>
      </c>
      <c r="D140" s="33">
        <v>1.3501622467723853</v>
      </c>
      <c r="E140" s="33">
        <v>0.0</v>
      </c>
      <c r="F140" s="33">
        <v>0.7012995675674701</v>
      </c>
      <c r="G140" s="33">
        <v>0.0</v>
      </c>
      <c r="H140" s="33">
        <v>-0.6708628033388614</v>
      </c>
      <c r="I140" s="33">
        <f t="shared" si="78"/>
        <v>2.650451211</v>
      </c>
      <c r="J140" s="33">
        <f t="shared" si="79"/>
        <v>0.9340387952</v>
      </c>
      <c r="K140" s="33">
        <f>J140^I$4 * (1-J140)^(1 - I$4)</f>
        <v>0.9340387952</v>
      </c>
      <c r="L140" s="33">
        <f>I$4*log(J140)+(1-I$4)*log(1-J140)</f>
        <v>-0.02963508502</v>
      </c>
      <c r="M140" s="33">
        <v>-0.06596120480799361</v>
      </c>
      <c r="N140" s="33">
        <v>-0.04947090360599521</v>
      </c>
      <c r="O140" s="33">
        <v>0.0</v>
      </c>
      <c r="P140" s="33">
        <v>-0.06596120480799361</v>
      </c>
      <c r="Q140" s="33">
        <v>-0.06596120480799361</v>
      </c>
      <c r="R140" s="33">
        <v>0.0</v>
      </c>
      <c r="S140" s="33">
        <v>-0.05653817554970881</v>
      </c>
      <c r="T140" s="33">
        <v>0.0</v>
      </c>
      <c r="U140" s="33">
        <v>-0.06596120480799361</v>
      </c>
    </row>
    <row r="141">
      <c r="A141" s="33">
        <v>-0.1399423579121723</v>
      </c>
      <c r="B141" s="33">
        <v>-0.05206700556314265</v>
      </c>
      <c r="C141" s="33">
        <v>0.0</v>
      </c>
      <c r="D141" s="33">
        <v>0.0</v>
      </c>
      <c r="E141" s="33">
        <v>-2.40410524626755</v>
      </c>
      <c r="F141" s="33">
        <v>0.0</v>
      </c>
      <c r="G141" s="33">
        <v>2.0273329944368577</v>
      </c>
      <c r="H141" s="33">
        <v>-0.6708628033388614</v>
      </c>
      <c r="I141" s="33">
        <f t="shared" si="78"/>
        <v>-1.239644419</v>
      </c>
      <c r="J141" s="33">
        <f t="shared" si="79"/>
        <v>0.2244978859</v>
      </c>
      <c r="K141" s="33">
        <f>J141^I$5 * (1-J141)^(1 - I$5)</f>
        <v>0.7755021141</v>
      </c>
      <c r="L141" s="33">
        <f>I$5*log(J141)+(1-I$5)*log(1-J141)</f>
        <v>-0.1104170139</v>
      </c>
      <c r="M141" s="33">
        <v>0.2244978858771459</v>
      </c>
      <c r="N141" s="33">
        <v>0.2244978858771459</v>
      </c>
      <c r="O141" s="33">
        <v>0.2244978858771459</v>
      </c>
      <c r="P141" s="33">
        <v>0.0</v>
      </c>
      <c r="Q141" s="33">
        <v>0.0</v>
      </c>
      <c r="R141" s="33">
        <v>0.2244978858771459</v>
      </c>
      <c r="S141" s="33">
        <v>0.0</v>
      </c>
      <c r="T141" s="33">
        <v>0.2244978858771459</v>
      </c>
      <c r="U141" s="33">
        <v>0.2244978858771459</v>
      </c>
    </row>
    <row r="142">
      <c r="A142" s="33">
        <v>-0.06997117895608615</v>
      </c>
      <c r="B142" s="33">
        <v>-0.05206700556314265</v>
      </c>
      <c r="C142" s="33">
        <v>0.8248853808877237</v>
      </c>
      <c r="D142" s="33">
        <v>0.9001081645149235</v>
      </c>
      <c r="E142" s="33">
        <v>-0.6010263115668875</v>
      </c>
      <c r="F142" s="33">
        <v>0.8181828288287152</v>
      </c>
      <c r="G142" s="33">
        <v>2.0273329944368577</v>
      </c>
      <c r="H142" s="33">
        <v>-0.6708628033388614</v>
      </c>
      <c r="I142" s="33">
        <f t="shared" si="78"/>
        <v>3.176582069</v>
      </c>
      <c r="J142" s="33">
        <f t="shared" si="79"/>
        <v>0.9599434461</v>
      </c>
      <c r="K142" s="33">
        <f>J142^I$6 * (1-J142)^(1 - I$6)</f>
        <v>0.9599434461</v>
      </c>
      <c r="L142" s="33">
        <f>I$6*log(J142)+(1-I$6)*log(1-J142)</f>
        <v>-0.01775435214</v>
      </c>
      <c r="M142" s="33">
        <v>-0.040056553903776826</v>
      </c>
      <c r="N142" s="33">
        <v>-0.020028276951888413</v>
      </c>
      <c r="O142" s="33">
        <v>-0.040056553903776826</v>
      </c>
      <c r="P142" s="33">
        <v>-0.024033932342266095</v>
      </c>
      <c r="Q142" s="33">
        <v>-0.02670436926918455</v>
      </c>
      <c r="R142" s="33">
        <v>-0.010014138475944206</v>
      </c>
      <c r="S142" s="33">
        <v>-0.040056553903776826</v>
      </c>
      <c r="T142" s="33">
        <v>-0.040056553903776826</v>
      </c>
      <c r="U142" s="33">
        <v>-0.040056553903776826</v>
      </c>
    </row>
    <row r="143">
      <c r="A143" s="33">
        <v>0.0</v>
      </c>
      <c r="B143" s="33">
        <v>0.0</v>
      </c>
      <c r="C143" s="33">
        <v>0.2749617936292412</v>
      </c>
      <c r="D143" s="33">
        <v>0.22502704112873087</v>
      </c>
      <c r="E143" s="33">
        <v>-1.8030789347006624</v>
      </c>
      <c r="F143" s="33">
        <v>0.05844163063062251</v>
      </c>
      <c r="G143" s="33">
        <v>0.0</v>
      </c>
      <c r="H143" s="33">
        <v>-0.6708628033388614</v>
      </c>
      <c r="I143" s="33">
        <f t="shared" si="78"/>
        <v>-1.915511273</v>
      </c>
      <c r="J143" s="33">
        <f t="shared" si="79"/>
        <v>0.1283629544</v>
      </c>
      <c r="K143" s="33">
        <f>J143^I$7 * (1-J143)^(1 - I$7)</f>
        <v>0.8716370456</v>
      </c>
      <c r="L143" s="33">
        <f>I$7*log(J143)+(1-I$7)*log(1-J143)</f>
        <v>-0.05966432001</v>
      </c>
      <c r="M143" s="33">
        <v>0.12836295440072734</v>
      </c>
      <c r="N143" s="33">
        <v>0.0</v>
      </c>
      <c r="O143" s="33">
        <v>0.0</v>
      </c>
      <c r="P143" s="33">
        <v>0.02567259088014547</v>
      </c>
      <c r="Q143" s="33">
        <v>0.021393825733454556</v>
      </c>
      <c r="R143" s="33">
        <v>0.09627221580054551</v>
      </c>
      <c r="S143" s="33">
        <v>0.00916878245719481</v>
      </c>
      <c r="T143" s="33">
        <v>0.0</v>
      </c>
      <c r="U143" s="33">
        <v>0.12836295440072734</v>
      </c>
    </row>
    <row r="144">
      <c r="L144" s="21" t="s">
        <v>38</v>
      </c>
      <c r="M144" s="33">
        <f t="array" ref="M144">SQRT(AVERAGE(M139:M143^2))</f>
        <v>0.1598280758</v>
      </c>
      <c r="N144" s="33">
        <f t="shared" ref="N144:U144" si="80">AVERAGE(N139:N143)</f>
        <v>0.01928508014</v>
      </c>
      <c r="O144" s="33">
        <f t="shared" si="80"/>
        <v>-0.009970377289</v>
      </c>
      <c r="P144" s="33">
        <f t="shared" si="80"/>
        <v>-0.03160796673</v>
      </c>
      <c r="Q144" s="33">
        <f t="shared" si="80"/>
        <v>-0.02987389756</v>
      </c>
      <c r="R144" s="33">
        <f t="shared" si="80"/>
        <v>0.0387218708</v>
      </c>
      <c r="S144" s="33">
        <f t="shared" si="80"/>
        <v>-0.02417928135</v>
      </c>
      <c r="T144" s="33">
        <f t="shared" si="80"/>
        <v>-0.009970377289</v>
      </c>
      <c r="U144" s="33">
        <f t="shared" si="80"/>
        <v>0.002509972629</v>
      </c>
    </row>
    <row r="145">
      <c r="A145" s="21">
        <f t="shared" ref="A145:H145" si="81">A138-N144*$B$8</f>
        <v>-0.1592274381</v>
      </c>
      <c r="B145" s="21">
        <f t="shared" si="81"/>
        <v>-0.04209662827</v>
      </c>
      <c r="C145" s="21">
        <f t="shared" si="81"/>
        <v>1.406416935</v>
      </c>
      <c r="D145" s="21">
        <f t="shared" si="81"/>
        <v>1.380036144</v>
      </c>
      <c r="E145" s="21">
        <f t="shared" si="81"/>
        <v>-2.442827117</v>
      </c>
      <c r="F145" s="21">
        <f t="shared" si="81"/>
        <v>0.8423621102</v>
      </c>
      <c r="G145" s="21">
        <f t="shared" si="81"/>
        <v>2.037303372</v>
      </c>
      <c r="H145" s="21">
        <f t="shared" si="81"/>
        <v>-0.673372776</v>
      </c>
      <c r="I145" s="21" t="s">
        <v>35</v>
      </c>
      <c r="J145" s="21" t="s">
        <v>36</v>
      </c>
      <c r="K145" s="21" t="s">
        <v>39</v>
      </c>
      <c r="L145" s="21" t="s">
        <v>40</v>
      </c>
      <c r="M145" s="28" t="s">
        <v>37</v>
      </c>
      <c r="N145" s="31" t="s">
        <v>0</v>
      </c>
      <c r="O145" s="32" t="s">
        <v>1</v>
      </c>
      <c r="P145" s="32" t="s">
        <v>2</v>
      </c>
      <c r="Q145" s="32" t="s">
        <v>3</v>
      </c>
      <c r="R145" s="32" t="s">
        <v>4</v>
      </c>
      <c r="S145" s="32" t="s">
        <v>5</v>
      </c>
      <c r="T145" s="32" t="s">
        <v>6</v>
      </c>
      <c r="U145" s="32" t="s">
        <v>16</v>
      </c>
    </row>
    <row r="146">
      <c r="A146" s="33">
        <f t="array" ref="A146:A150">A$3:A$7*A145</f>
        <v>-0.03980685951</v>
      </c>
      <c r="B146" s="33">
        <f t="array" ref="B146:B150">B$3:B$7*B145</f>
        <v>-0.04209662827</v>
      </c>
      <c r="C146" s="33">
        <f t="array" ref="C146:C150">C$3:C$7*C145</f>
        <v>0.5625667739</v>
      </c>
      <c r="D146" s="33">
        <f t="array" ref="D146:D150">D$3:D$7*D145</f>
        <v>0.4600120481</v>
      </c>
      <c r="E146" s="33">
        <f t="array" ref="E146:E150">E$3:E$7*E145</f>
        <v>-1.221413559</v>
      </c>
      <c r="F146" s="33">
        <f t="array" ref="F146:F150">F$3:F$7*F145</f>
        <v>0.1203374443</v>
      </c>
      <c r="G146" s="33">
        <f t="array" ref="G146:G150">G$3:G$7*G145</f>
        <v>2.037303372</v>
      </c>
      <c r="H146" s="33">
        <f t="array" ref="H146:H150">H$3:H$7*H145</f>
        <v>-0.673372776</v>
      </c>
      <c r="I146" s="33">
        <f t="shared" ref="I146:I150" si="82">SUM(A146:H146)</f>
        <v>1.203529816</v>
      </c>
      <c r="J146" s="33">
        <f t="shared" ref="J146:J150" si="83">1/(1 + EXP(-I146))</f>
        <v>0.7691521228</v>
      </c>
      <c r="K146" s="33">
        <f>J146^I$3 * (1-J146)^(1 - I$3)</f>
        <v>0.7691521228</v>
      </c>
      <c r="L146" s="33">
        <f>I$3*log(J146)+(1-I$3)*log(1-J146)</f>
        <v>-0.113987757</v>
      </c>
      <c r="M146" s="33">
        <f t="array" ref="M146:M150">J146:J150-I$3:I$7</f>
        <v>-0.2308478772</v>
      </c>
      <c r="N146" s="33">
        <f t="array" ref="N146:N150">$M146:$M150*A$3:A$7</f>
        <v>-0.05771196929</v>
      </c>
      <c r="O146" s="33">
        <f t="array" ref="O146:O150">$M146:$M150*B$3:B$7</f>
        <v>-0.2308478772</v>
      </c>
      <c r="P146" s="33">
        <f t="array" ref="P146:P150">$M146:$M150*C$3:C$7</f>
        <v>-0.09233915086</v>
      </c>
      <c r="Q146" s="33">
        <f t="array" ref="Q146:Q150">$M146:$M150*D$3:D$7</f>
        <v>-0.07694929239</v>
      </c>
      <c r="R146" s="33">
        <f t="array" ref="R146:R150">$M146:$M150*E$3:E$7</f>
        <v>-0.1154239386</v>
      </c>
      <c r="S146" s="33">
        <f t="array" ref="S146:S150">$M146:$M150*F$3:F$7</f>
        <v>-0.03297826817</v>
      </c>
      <c r="T146" s="33">
        <f t="array" ref="T146:T150">$M146:$M150*G$3:G$7</f>
        <v>-0.2308478772</v>
      </c>
      <c r="U146" s="33">
        <f t="array" ref="U146:U150">$M146:$M150*H$3:H$7</f>
        <v>-0.2308478772</v>
      </c>
    </row>
    <row r="147">
      <c r="A147" s="33">
        <v>-0.1194205785413058</v>
      </c>
      <c r="B147" s="33">
        <v>0.0</v>
      </c>
      <c r="C147" s="33">
        <v>1.4064169348737496</v>
      </c>
      <c r="D147" s="33">
        <v>1.3800361443357305</v>
      </c>
      <c r="E147" s="33">
        <v>0.0</v>
      </c>
      <c r="F147" s="33">
        <v>0.7220246658709732</v>
      </c>
      <c r="G147" s="33">
        <v>0.0</v>
      </c>
      <c r="H147" s="33">
        <v>-0.6733727759682806</v>
      </c>
      <c r="I147" s="33">
        <f t="shared" si="82"/>
        <v>2.715684391</v>
      </c>
      <c r="J147" s="33">
        <f t="shared" si="83"/>
        <v>0.9379458246</v>
      </c>
      <c r="K147" s="33">
        <f>J147^I$4 * (1-J147)^(1 - I$4)</f>
        <v>0.9379458246</v>
      </c>
      <c r="L147" s="33">
        <f>I$4*log(J147)+(1-I$4)*log(1-J147)</f>
        <v>-0.02782224559</v>
      </c>
      <c r="M147" s="33">
        <v>-0.062054175411424994</v>
      </c>
      <c r="N147" s="33">
        <v>-0.046540631558568746</v>
      </c>
      <c r="O147" s="33">
        <v>0.0</v>
      </c>
      <c r="P147" s="33">
        <v>-0.062054175411424994</v>
      </c>
      <c r="Q147" s="33">
        <v>-0.062054175411424994</v>
      </c>
      <c r="R147" s="33">
        <v>0.0</v>
      </c>
      <c r="S147" s="33">
        <v>-0.05318929320979285</v>
      </c>
      <c r="T147" s="33">
        <v>0.0</v>
      </c>
      <c r="U147" s="33">
        <v>-0.062054175411424994</v>
      </c>
    </row>
    <row r="148">
      <c r="A148" s="33">
        <v>-0.15922743805507442</v>
      </c>
      <c r="B148" s="33">
        <v>-0.04209662827401507</v>
      </c>
      <c r="C148" s="33">
        <v>0.0</v>
      </c>
      <c r="D148" s="33">
        <v>0.0</v>
      </c>
      <c r="E148" s="33">
        <v>-2.4428271170659985</v>
      </c>
      <c r="F148" s="33">
        <v>0.0</v>
      </c>
      <c r="G148" s="33">
        <v>2.037303371725985</v>
      </c>
      <c r="H148" s="33">
        <v>-0.6733727759682806</v>
      </c>
      <c r="I148" s="33">
        <f t="shared" si="82"/>
        <v>-1.280220588</v>
      </c>
      <c r="J148" s="33">
        <f t="shared" si="83"/>
        <v>0.217512677</v>
      </c>
      <c r="K148" s="33">
        <f>J148^I$5 * (1-J148)^(1 - I$5)</f>
        <v>0.782487323</v>
      </c>
      <c r="L148" s="33">
        <f>I$5*log(J148)+(1-I$5)*log(1-J148)</f>
        <v>-0.1065226897</v>
      </c>
      <c r="M148" s="33">
        <v>0.21751267702025617</v>
      </c>
      <c r="N148" s="33">
        <v>0.21751267702025617</v>
      </c>
      <c r="O148" s="33">
        <v>0.21751267702025617</v>
      </c>
      <c r="P148" s="33">
        <v>0.0</v>
      </c>
      <c r="Q148" s="33">
        <v>0.0</v>
      </c>
      <c r="R148" s="33">
        <v>0.21751267702025617</v>
      </c>
      <c r="S148" s="33">
        <v>0.0</v>
      </c>
      <c r="T148" s="33">
        <v>0.21751267702025617</v>
      </c>
      <c r="U148" s="33">
        <v>0.21751267702025617</v>
      </c>
    </row>
    <row r="149">
      <c r="A149" s="33">
        <v>-0.07961371902753721</v>
      </c>
      <c r="B149" s="33">
        <v>-0.04209662827401507</v>
      </c>
      <c r="C149" s="33">
        <v>0.8438501609242498</v>
      </c>
      <c r="D149" s="33">
        <v>0.9200240962238203</v>
      </c>
      <c r="E149" s="33">
        <v>-0.6107067792664996</v>
      </c>
      <c r="F149" s="33">
        <v>0.8423621101828022</v>
      </c>
      <c r="G149" s="33">
        <v>2.037303371725985</v>
      </c>
      <c r="H149" s="33">
        <v>-0.6733727759682806</v>
      </c>
      <c r="I149" s="33">
        <f t="shared" si="82"/>
        <v>3.237749837</v>
      </c>
      <c r="J149" s="33">
        <f t="shared" si="83"/>
        <v>0.9622304167</v>
      </c>
      <c r="K149" s="33">
        <f>J149^I$6 * (1-J149)^(1 - I$6)</f>
        <v>0.9622304167</v>
      </c>
      <c r="L149" s="33">
        <f>I$6*log(J149)+(1-I$6)*log(1-J149)</f>
        <v>-0.01672091889</v>
      </c>
      <c r="M149" s="33">
        <v>-0.03776958329151103</v>
      </c>
      <c r="N149" s="33">
        <v>-0.018884791645755516</v>
      </c>
      <c r="O149" s="33">
        <v>-0.03776958329151103</v>
      </c>
      <c r="P149" s="33">
        <v>-0.02266174997490662</v>
      </c>
      <c r="Q149" s="33">
        <v>-0.025179722194340688</v>
      </c>
      <c r="R149" s="33">
        <v>-0.009442395822877758</v>
      </c>
      <c r="S149" s="33">
        <v>-0.03776958329151103</v>
      </c>
      <c r="T149" s="33">
        <v>-0.03776958329151103</v>
      </c>
      <c r="U149" s="33">
        <v>-0.03776958329151103</v>
      </c>
    </row>
    <row r="150">
      <c r="A150" s="33">
        <v>0.0</v>
      </c>
      <c r="B150" s="33">
        <v>0.0</v>
      </c>
      <c r="C150" s="33">
        <v>0.2812833869747499</v>
      </c>
      <c r="D150" s="33">
        <v>0.23000602405595508</v>
      </c>
      <c r="E150" s="33">
        <v>-1.8321203377994988</v>
      </c>
      <c r="F150" s="33">
        <v>0.060168722155914435</v>
      </c>
      <c r="G150" s="33">
        <v>0.0</v>
      </c>
      <c r="H150" s="33">
        <v>-0.6733727759682806</v>
      </c>
      <c r="I150" s="33">
        <f t="shared" si="82"/>
        <v>-1.934034981</v>
      </c>
      <c r="J150" s="33">
        <f t="shared" si="83"/>
        <v>0.126304641</v>
      </c>
      <c r="K150" s="33">
        <f>J150^I$7 * (1-J150)^(1 - I$7)</f>
        <v>0.873695359</v>
      </c>
      <c r="L150" s="33">
        <f>I$7*log(J150)+(1-I$7)*log(1-J150)</f>
        <v>-0.05863997124</v>
      </c>
      <c r="M150" s="33">
        <v>0.12630464103225178</v>
      </c>
      <c r="N150" s="33">
        <v>0.0</v>
      </c>
      <c r="O150" s="33">
        <v>0.0</v>
      </c>
      <c r="P150" s="33">
        <v>0.02526092820645036</v>
      </c>
      <c r="Q150" s="33">
        <v>0.021050773505375295</v>
      </c>
      <c r="R150" s="33">
        <v>0.09472848077418883</v>
      </c>
      <c r="S150" s="33">
        <v>0.009021760073732269</v>
      </c>
      <c r="T150" s="33">
        <v>0.0</v>
      </c>
      <c r="U150" s="33">
        <v>0.12630464103225178</v>
      </c>
    </row>
    <row r="151">
      <c r="L151" s="21" t="s">
        <v>38</v>
      </c>
      <c r="M151" s="33">
        <f t="array" ref="M151">SQRT(AVERAGE(M146:M150^2))</f>
        <v>0.15609781</v>
      </c>
      <c r="N151" s="33">
        <f t="shared" ref="N151:U151" si="84">AVERAGE(N146:N150)</f>
        <v>0.01887505691</v>
      </c>
      <c r="O151" s="33">
        <f t="shared" si="84"/>
        <v>-0.01022095669</v>
      </c>
      <c r="P151" s="33">
        <f t="shared" si="84"/>
        <v>-0.03035882961</v>
      </c>
      <c r="Q151" s="33">
        <f t="shared" si="84"/>
        <v>-0.0286264833</v>
      </c>
      <c r="R151" s="33">
        <f t="shared" si="84"/>
        <v>0.03747496468</v>
      </c>
      <c r="S151" s="33">
        <f t="shared" si="84"/>
        <v>-0.02298307692</v>
      </c>
      <c r="T151" s="33">
        <f t="shared" si="84"/>
        <v>-0.01022095669</v>
      </c>
      <c r="U151" s="33">
        <f t="shared" si="84"/>
        <v>0.002629136437</v>
      </c>
    </row>
    <row r="152">
      <c r="A152" s="21">
        <f t="shared" ref="A152:H152" si="85">A145-N151*$B$8</f>
        <v>-0.178102495</v>
      </c>
      <c r="B152" s="21">
        <f t="shared" si="85"/>
        <v>-0.03187567159</v>
      </c>
      <c r="C152" s="21">
        <f t="shared" si="85"/>
        <v>1.436775764</v>
      </c>
      <c r="D152" s="21">
        <f t="shared" si="85"/>
        <v>1.408662628</v>
      </c>
      <c r="E152" s="21">
        <f t="shared" si="85"/>
        <v>-2.480302082</v>
      </c>
      <c r="F152" s="21">
        <f t="shared" si="85"/>
        <v>0.8653451871</v>
      </c>
      <c r="G152" s="21">
        <f t="shared" si="85"/>
        <v>2.047524328</v>
      </c>
      <c r="H152" s="21">
        <f t="shared" si="85"/>
        <v>-0.6760019124</v>
      </c>
      <c r="I152" s="21" t="s">
        <v>35</v>
      </c>
      <c r="J152" s="21" t="s">
        <v>36</v>
      </c>
      <c r="K152" s="21" t="s">
        <v>39</v>
      </c>
      <c r="L152" s="21" t="s">
        <v>40</v>
      </c>
      <c r="M152" s="28" t="s">
        <v>37</v>
      </c>
      <c r="N152" s="31" t="s">
        <v>0</v>
      </c>
      <c r="O152" s="32" t="s">
        <v>1</v>
      </c>
      <c r="P152" s="32" t="s">
        <v>2</v>
      </c>
      <c r="Q152" s="32" t="s">
        <v>3</v>
      </c>
      <c r="R152" s="32" t="s">
        <v>4</v>
      </c>
      <c r="S152" s="32" t="s">
        <v>5</v>
      </c>
      <c r="T152" s="32" t="s">
        <v>6</v>
      </c>
      <c r="U152" s="32" t="s">
        <v>16</v>
      </c>
    </row>
    <row r="153">
      <c r="A153" s="33">
        <f t="array" ref="A153:A157">A$3:A$7*A152</f>
        <v>-0.04452562374</v>
      </c>
      <c r="B153" s="33">
        <f t="array" ref="B153:B157">B$3:B$7*B152</f>
        <v>-0.03187567159</v>
      </c>
      <c r="C153" s="33">
        <f t="array" ref="C153:C157">C$3:C$7*C152</f>
        <v>0.5747103058</v>
      </c>
      <c r="D153" s="33">
        <f t="array" ref="D153:D157">D$3:D$7*D152</f>
        <v>0.4695542092</v>
      </c>
      <c r="E153" s="33">
        <f t="array" ref="E153:E157">E$3:E$7*E152</f>
        <v>-1.240151041</v>
      </c>
      <c r="F153" s="33">
        <f t="array" ref="F153:F157">F$3:F$7*F152</f>
        <v>0.123620741</v>
      </c>
      <c r="G153" s="33">
        <f t="array" ref="G153:G157">G$3:G$7*G152</f>
        <v>2.047524328</v>
      </c>
      <c r="H153" s="33">
        <f t="array" ref="H153:H157">H$3:H$7*H152</f>
        <v>-0.6760019124</v>
      </c>
      <c r="I153" s="33">
        <f t="shared" ref="I153:I157" si="86">SUM(A153:H153)</f>
        <v>1.222855336</v>
      </c>
      <c r="J153" s="33">
        <f t="shared" ref="J153:J157" si="87">1/(1 + EXP(-I153))</f>
        <v>0.7725656451</v>
      </c>
      <c r="K153" s="33">
        <f>J153^I$3 * (1-J153)^(1 - I$3)</f>
        <v>0.7725656451</v>
      </c>
      <c r="L153" s="33">
        <f>I$3*log(J153)+(1-I$3)*log(1-J153)</f>
        <v>-0.1120646082</v>
      </c>
      <c r="M153" s="33">
        <f t="array" ref="M153:M157">J153:J157-I$3:I$7</f>
        <v>-0.2274343549</v>
      </c>
      <c r="N153" s="33">
        <f t="array" ref="N153:N157">$M153:$M157*A$3:A$7</f>
        <v>-0.05685858872</v>
      </c>
      <c r="O153" s="33">
        <f t="array" ref="O153:O157">$M153:$M157*B$3:B$7</f>
        <v>-0.2274343549</v>
      </c>
      <c r="P153" s="33">
        <f t="array" ref="P153:P157">$M153:$M157*C$3:C$7</f>
        <v>-0.09097374196</v>
      </c>
      <c r="Q153" s="33">
        <f t="array" ref="Q153:Q157">$M153:$M157*D$3:D$7</f>
        <v>-0.07581145163</v>
      </c>
      <c r="R153" s="33">
        <f t="array" ref="R153:R157">$M153:$M157*E$3:E$7</f>
        <v>-0.1137171774</v>
      </c>
      <c r="S153" s="33">
        <f t="array" ref="S153:S157">$M153:$M157*F$3:F$7</f>
        <v>-0.03249062213</v>
      </c>
      <c r="T153" s="33">
        <f t="array" ref="T153:T157">$M153:$M157*G$3:G$7</f>
        <v>-0.2274343549</v>
      </c>
      <c r="U153" s="33">
        <f t="array" ref="U153:U157">$M153:$M157*H$3:H$7</f>
        <v>-0.2274343549</v>
      </c>
    </row>
    <row r="154">
      <c r="A154" s="33">
        <v>-0.13357687122010442</v>
      </c>
      <c r="B154" s="33">
        <v>0.0</v>
      </c>
      <c r="C154" s="33">
        <v>1.4367757644827204</v>
      </c>
      <c r="D154" s="33">
        <v>1.408662627633304</v>
      </c>
      <c r="E154" s="33">
        <v>0.0</v>
      </c>
      <c r="F154" s="33">
        <v>0.7417244460870246</v>
      </c>
      <c r="G154" s="33">
        <v>0.0</v>
      </c>
      <c r="H154" s="33">
        <v>-0.6760019124057087</v>
      </c>
      <c r="I154" s="33">
        <f t="shared" si="86"/>
        <v>2.777584055</v>
      </c>
      <c r="J154" s="33">
        <f t="shared" si="87"/>
        <v>0.9414524201</v>
      </c>
      <c r="K154" s="33">
        <f>J154^I$4 * (1-J154)^(1 - I$4)</f>
        <v>0.9414524201</v>
      </c>
      <c r="L154" s="33">
        <f>I$4*log(J154)+(1-I$4)*log(1-J154)</f>
        <v>-0.02620162384</v>
      </c>
      <c r="M154" s="33">
        <v>-0.05854757993771598</v>
      </c>
      <c r="N154" s="33">
        <v>-0.04391068495328698</v>
      </c>
      <c r="O154" s="33">
        <v>0.0</v>
      </c>
      <c r="P154" s="33">
        <v>-0.05854757993771598</v>
      </c>
      <c r="Q154" s="33">
        <v>-0.05854757993771598</v>
      </c>
      <c r="R154" s="33">
        <v>0.0</v>
      </c>
      <c r="S154" s="33">
        <v>-0.05018363994661369</v>
      </c>
      <c r="T154" s="33">
        <v>0.0</v>
      </c>
      <c r="U154" s="33">
        <v>-0.05854757993771598</v>
      </c>
    </row>
    <row r="155">
      <c r="A155" s="33">
        <v>-0.17810249496013925</v>
      </c>
      <c r="B155" s="33">
        <v>-0.03187567158727789</v>
      </c>
      <c r="C155" s="33">
        <v>0.0</v>
      </c>
      <c r="D155" s="33">
        <v>0.0</v>
      </c>
      <c r="E155" s="33">
        <v>-2.480302081744069</v>
      </c>
      <c r="F155" s="33">
        <v>0.0</v>
      </c>
      <c r="G155" s="33">
        <v>2.0475243284127225</v>
      </c>
      <c r="H155" s="33">
        <v>-0.6760019124057087</v>
      </c>
      <c r="I155" s="33">
        <f t="shared" si="86"/>
        <v>-1.318757832</v>
      </c>
      <c r="J155" s="33">
        <f t="shared" si="87"/>
        <v>0.2110250321</v>
      </c>
      <c r="K155" s="33">
        <f>J155^I$5 * (1-J155)^(1 - I$5)</f>
        <v>0.7889749679</v>
      </c>
      <c r="L155" s="33">
        <f>I$5*log(J155)+(1-I$5)*log(1-J155)</f>
        <v>-0.1029367756</v>
      </c>
      <c r="M155" s="33">
        <v>0.21102503205191267</v>
      </c>
      <c r="N155" s="33">
        <v>0.21102503205191267</v>
      </c>
      <c r="O155" s="33">
        <v>0.21102503205191267</v>
      </c>
      <c r="P155" s="33">
        <v>0.0</v>
      </c>
      <c r="Q155" s="33">
        <v>0.0</v>
      </c>
      <c r="R155" s="33">
        <v>0.21102503205191267</v>
      </c>
      <c r="S155" s="33">
        <v>0.0</v>
      </c>
      <c r="T155" s="33">
        <v>0.21102503205191267</v>
      </c>
      <c r="U155" s="33">
        <v>0.21102503205191267</v>
      </c>
    </row>
    <row r="156">
      <c r="A156" s="33">
        <v>-0.08905124748006962</v>
      </c>
      <c r="B156" s="33">
        <v>-0.03187567158727789</v>
      </c>
      <c r="C156" s="33">
        <v>0.8620654586896322</v>
      </c>
      <c r="D156" s="33">
        <v>0.9391084184222027</v>
      </c>
      <c r="E156" s="33">
        <v>-0.6200755204360172</v>
      </c>
      <c r="F156" s="33">
        <v>0.8653451871015287</v>
      </c>
      <c r="G156" s="33">
        <v>2.0475243284127225</v>
      </c>
      <c r="H156" s="33">
        <v>-0.6760019124057087</v>
      </c>
      <c r="I156" s="33">
        <f t="shared" si="86"/>
        <v>3.297039041</v>
      </c>
      <c r="J156" s="33">
        <f t="shared" si="87"/>
        <v>0.9643270926</v>
      </c>
      <c r="K156" s="33">
        <f>J156^I$6 * (1-J156)^(1 - I$6)</f>
        <v>0.9643270926</v>
      </c>
      <c r="L156" s="33">
        <f>I$6*log(J156)+(1-I$6)*log(1-J156)</f>
        <v>-0.01577563164</v>
      </c>
      <c r="M156" s="33">
        <v>-0.035672907389632136</v>
      </c>
      <c r="N156" s="33">
        <v>-0.017836453694816068</v>
      </c>
      <c r="O156" s="33">
        <v>-0.035672907389632136</v>
      </c>
      <c r="P156" s="33">
        <v>-0.021403744433779282</v>
      </c>
      <c r="Q156" s="33">
        <v>-0.023781938259754755</v>
      </c>
      <c r="R156" s="33">
        <v>-0.008918226847408034</v>
      </c>
      <c r="S156" s="33">
        <v>-0.035672907389632136</v>
      </c>
      <c r="T156" s="33">
        <v>-0.035672907389632136</v>
      </c>
      <c r="U156" s="33">
        <v>-0.035672907389632136</v>
      </c>
    </row>
    <row r="157">
      <c r="A157" s="33">
        <v>0.0</v>
      </c>
      <c r="B157" s="33">
        <v>0.0</v>
      </c>
      <c r="C157" s="33">
        <v>0.28735515289654406</v>
      </c>
      <c r="D157" s="33">
        <v>0.23477710460555068</v>
      </c>
      <c r="E157" s="33">
        <v>-1.8602265613080515</v>
      </c>
      <c r="F157" s="33">
        <v>0.06181037050725205</v>
      </c>
      <c r="G157" s="33">
        <v>0.0</v>
      </c>
      <c r="H157" s="33">
        <v>-0.6760019124057087</v>
      </c>
      <c r="I157" s="33">
        <f t="shared" si="86"/>
        <v>-1.952285846</v>
      </c>
      <c r="J157" s="33">
        <f t="shared" si="87"/>
        <v>0.1243043238</v>
      </c>
      <c r="K157" s="33">
        <f>J157^I$7 * (1-J157)^(1 - I$7)</f>
        <v>0.8756956762</v>
      </c>
      <c r="L157" s="33">
        <f>I$7*log(J157)+(1-I$7)*log(1-J157)</f>
        <v>-0.05764679465</v>
      </c>
      <c r="M157" s="33">
        <v>0.12430432381819055</v>
      </c>
      <c r="N157" s="33">
        <v>0.0</v>
      </c>
      <c r="O157" s="33">
        <v>0.0</v>
      </c>
      <c r="P157" s="33">
        <v>0.02486086476363811</v>
      </c>
      <c r="Q157" s="33">
        <v>0.020717387303031756</v>
      </c>
      <c r="R157" s="33">
        <v>0.09322824286364291</v>
      </c>
      <c r="S157" s="33">
        <v>0.008878880272727896</v>
      </c>
      <c r="T157" s="33">
        <v>0.0</v>
      </c>
      <c r="U157" s="33">
        <v>0.12430432381819055</v>
      </c>
    </row>
    <row r="158">
      <c r="L158" s="21" t="s">
        <v>38</v>
      </c>
      <c r="M158" s="33">
        <f t="array" ref="M158">SQRT(AVERAGE(M153:M157^2))</f>
        <v>0.152584331</v>
      </c>
      <c r="N158" s="33">
        <f t="shared" ref="N158:U158" si="88">AVERAGE(N153:N157)</f>
        <v>0.01848386094</v>
      </c>
      <c r="O158" s="33">
        <f t="shared" si="88"/>
        <v>-0.01041644605</v>
      </c>
      <c r="P158" s="33">
        <f t="shared" si="88"/>
        <v>-0.02921284031</v>
      </c>
      <c r="Q158" s="33">
        <f t="shared" si="88"/>
        <v>-0.0274847165</v>
      </c>
      <c r="R158" s="33">
        <f t="shared" si="88"/>
        <v>0.03632357412</v>
      </c>
      <c r="S158" s="33">
        <f t="shared" si="88"/>
        <v>-0.02189365784</v>
      </c>
      <c r="T158" s="33">
        <f t="shared" si="88"/>
        <v>-0.01041644605</v>
      </c>
      <c r="U158" s="33">
        <f t="shared" si="88"/>
        <v>0.00273490273</v>
      </c>
    </row>
    <row r="159">
      <c r="A159" s="21">
        <f t="shared" ref="A159:H159" si="89">A152-N158*$B$8</f>
        <v>-0.1965863559</v>
      </c>
      <c r="B159" s="21">
        <f t="shared" si="89"/>
        <v>-0.02145922554</v>
      </c>
      <c r="C159" s="21">
        <f t="shared" si="89"/>
        <v>1.465988605</v>
      </c>
      <c r="D159" s="21">
        <f t="shared" si="89"/>
        <v>1.436147344</v>
      </c>
      <c r="E159" s="21">
        <f t="shared" si="89"/>
        <v>-2.516625656</v>
      </c>
      <c r="F159" s="21">
        <f t="shared" si="89"/>
        <v>0.8872388449</v>
      </c>
      <c r="G159" s="21">
        <f t="shared" si="89"/>
        <v>2.057940774</v>
      </c>
      <c r="H159" s="21">
        <f t="shared" si="89"/>
        <v>-0.6787368151</v>
      </c>
      <c r="I159" s="21" t="s">
        <v>35</v>
      </c>
      <c r="J159" s="21" t="s">
        <v>36</v>
      </c>
      <c r="K159" s="21" t="s">
        <v>39</v>
      </c>
      <c r="L159" s="21" t="s">
        <v>40</v>
      </c>
      <c r="M159" s="28" t="s">
        <v>37</v>
      </c>
      <c r="N159" s="31" t="s">
        <v>0</v>
      </c>
      <c r="O159" s="32" t="s">
        <v>1</v>
      </c>
      <c r="P159" s="32" t="s">
        <v>2</v>
      </c>
      <c r="Q159" s="32" t="s">
        <v>3</v>
      </c>
      <c r="R159" s="32" t="s">
        <v>4</v>
      </c>
      <c r="S159" s="32" t="s">
        <v>5</v>
      </c>
      <c r="T159" s="32" t="s">
        <v>6</v>
      </c>
      <c r="U159" s="32" t="s">
        <v>16</v>
      </c>
    </row>
    <row r="160">
      <c r="A160" s="33">
        <f t="array" ref="A160:A164">A$3:A$7*A159</f>
        <v>-0.04914658897</v>
      </c>
      <c r="B160" s="33">
        <f t="array" ref="B160:B164">B$3:B$7*B159</f>
        <v>-0.02145922554</v>
      </c>
      <c r="C160" s="33">
        <f t="array" ref="C160:C164">C$3:C$7*C159</f>
        <v>0.5863954419</v>
      </c>
      <c r="D160" s="33">
        <f t="array" ref="D160:D164">D$3:D$7*D159</f>
        <v>0.4787157814</v>
      </c>
      <c r="E160" s="33">
        <f t="array" ref="E160:E164">E$3:E$7*E159</f>
        <v>-1.258312828</v>
      </c>
      <c r="F160" s="33">
        <f t="array" ref="F160:F164">F$3:F$7*F159</f>
        <v>0.1267484064</v>
      </c>
      <c r="G160" s="33">
        <f t="array" ref="G160:G164">G$3:G$7*G159</f>
        <v>2.057940774</v>
      </c>
      <c r="H160" s="33">
        <f t="array" ref="H160:H164">H$3:H$7*H159</f>
        <v>-0.6787368151</v>
      </c>
      <c r="I160" s="33">
        <f t="shared" ref="I160:I164" si="90">SUM(A160:H160)</f>
        <v>1.242144947</v>
      </c>
      <c r="J160" s="33">
        <f t="shared" ref="J160:J164" si="91">1/(1 + EXP(-I160))</f>
        <v>0.7759371526</v>
      </c>
      <c r="K160" s="33">
        <f>J160^I$3 * (1-J160)^(1 - I$3)</f>
        <v>0.7759371526</v>
      </c>
      <c r="L160" s="33">
        <f>I$3*log(J160)+(1-I$3)*log(1-J160)</f>
        <v>-0.1101734532</v>
      </c>
      <c r="M160" s="33">
        <f t="array" ref="M160:M164">J160:J164-I$3:I$7</f>
        <v>-0.2240628474</v>
      </c>
      <c r="N160" s="33">
        <f t="array" ref="N160:N164">$M160:$M164*A$3:A$7</f>
        <v>-0.05601571186</v>
      </c>
      <c r="O160" s="33">
        <f t="array" ref="O160:O164">$M160:$M164*B$3:B$7</f>
        <v>-0.2240628474</v>
      </c>
      <c r="P160" s="33">
        <f t="array" ref="P160:P164">$M160:$M164*C$3:C$7</f>
        <v>-0.08962513897</v>
      </c>
      <c r="Q160" s="33">
        <f t="array" ref="Q160:Q164">$M160:$M164*D$3:D$7</f>
        <v>-0.07468761581</v>
      </c>
      <c r="R160" s="33">
        <f t="array" ref="R160:R164">$M160:$M164*E$3:E$7</f>
        <v>-0.1120314237</v>
      </c>
      <c r="S160" s="33">
        <f t="array" ref="S160:S164">$M160:$M164*F$3:F$7</f>
        <v>-0.0320089782</v>
      </c>
      <c r="T160" s="33">
        <f t="array" ref="T160:T164">$M160:$M164*G$3:G$7</f>
        <v>-0.2240628474</v>
      </c>
      <c r="U160" s="33">
        <f t="array" ref="U160:U164">$M160:$M164*H$3:H$7</f>
        <v>-0.2240628474</v>
      </c>
    </row>
    <row r="161">
      <c r="A161" s="33">
        <v>-0.14743976692226507</v>
      </c>
      <c r="B161" s="33">
        <v>0.0</v>
      </c>
      <c r="C161" s="33">
        <v>1.4659886047955681</v>
      </c>
      <c r="D161" s="33">
        <v>1.4361473441382555</v>
      </c>
      <c r="E161" s="33">
        <v>0.0</v>
      </c>
      <c r="F161" s="33">
        <v>0.7604904385197326</v>
      </c>
      <c r="G161" s="33">
        <v>0.0</v>
      </c>
      <c r="H161" s="33">
        <v>-0.6787368151360688</v>
      </c>
      <c r="I161" s="33">
        <f t="shared" si="90"/>
        <v>2.836449805</v>
      </c>
      <c r="J161" s="33">
        <f t="shared" si="91"/>
        <v>0.9446140147</v>
      </c>
      <c r="K161" s="33">
        <f>J161^I$4 * (1-J161)^(1 - I$4)</f>
        <v>0.9446140147</v>
      </c>
      <c r="L161" s="33">
        <f>I$4*log(J161)+(1-I$4)*log(1-J161)</f>
        <v>-0.02474561533</v>
      </c>
      <c r="M161" s="33">
        <v>-0.055385985288550765</v>
      </c>
      <c r="N161" s="33">
        <v>-0.041539488966413074</v>
      </c>
      <c r="O161" s="33">
        <v>0.0</v>
      </c>
      <c r="P161" s="33">
        <v>-0.055385985288550765</v>
      </c>
      <c r="Q161" s="33">
        <v>-0.055385985288550765</v>
      </c>
      <c r="R161" s="33">
        <v>0.0</v>
      </c>
      <c r="S161" s="33">
        <v>-0.047473701675900655</v>
      </c>
      <c r="T161" s="33">
        <v>0.0</v>
      </c>
      <c r="U161" s="33">
        <v>-0.055385985288550765</v>
      </c>
    </row>
    <row r="162">
      <c r="A162" s="33">
        <v>-0.19658635589635343</v>
      </c>
      <c r="B162" s="33">
        <v>-0.02145922554154302</v>
      </c>
      <c r="C162" s="33">
        <v>0.0</v>
      </c>
      <c r="D162" s="33">
        <v>0.0</v>
      </c>
      <c r="E162" s="33">
        <v>-2.516625655868603</v>
      </c>
      <c r="F162" s="33">
        <v>0.0</v>
      </c>
      <c r="G162" s="33">
        <v>2.0579407744584572</v>
      </c>
      <c r="H162" s="33">
        <v>-0.6787368151360688</v>
      </c>
      <c r="I162" s="33">
        <f t="shared" si="90"/>
        <v>-1.355467278</v>
      </c>
      <c r="J162" s="33">
        <f t="shared" si="91"/>
        <v>0.204977976</v>
      </c>
      <c r="K162" s="33">
        <f>J162^I$5 * (1-J162)^(1 - I$5)</f>
        <v>0.795022024</v>
      </c>
      <c r="L162" s="33">
        <f>I$5*log(J162)+(1-I$5)*log(1-J162)</f>
        <v>-0.09962084021</v>
      </c>
      <c r="M162" s="33">
        <v>0.20497797603431075</v>
      </c>
      <c r="N162" s="33">
        <v>0.20497797603431075</v>
      </c>
      <c r="O162" s="33">
        <v>0.20497797603431075</v>
      </c>
      <c r="P162" s="33">
        <v>0.0</v>
      </c>
      <c r="Q162" s="33">
        <v>0.0</v>
      </c>
      <c r="R162" s="33">
        <v>0.20497797603431075</v>
      </c>
      <c r="S162" s="33">
        <v>0.0</v>
      </c>
      <c r="T162" s="33">
        <v>0.20497797603431075</v>
      </c>
      <c r="U162" s="33">
        <v>0.20497797603431075</v>
      </c>
    </row>
    <row r="163">
      <c r="A163" s="33">
        <v>-0.09829317794817671</v>
      </c>
      <c r="B163" s="33">
        <v>-0.02145922554154302</v>
      </c>
      <c r="C163" s="33">
        <v>0.8795931628773409</v>
      </c>
      <c r="D163" s="33">
        <v>0.957431562758837</v>
      </c>
      <c r="E163" s="33">
        <v>-0.6291564139671507</v>
      </c>
      <c r="F163" s="33">
        <v>0.8872388449396882</v>
      </c>
      <c r="G163" s="33">
        <v>2.0579407744584572</v>
      </c>
      <c r="H163" s="33">
        <v>-0.6787368151360688</v>
      </c>
      <c r="I163" s="33">
        <f t="shared" si="90"/>
        <v>3.354558712</v>
      </c>
      <c r="J163" s="33">
        <f t="shared" si="91"/>
        <v>0.9662537999</v>
      </c>
      <c r="K163" s="33">
        <f>J163^I$6 * (1-J163)^(1 - I$6)</f>
        <v>0.9662537999</v>
      </c>
      <c r="L163" s="33">
        <f>I$6*log(J163)+(1-I$6)*log(1-J163)</f>
        <v>-0.01490878514</v>
      </c>
      <c r="M163" s="33">
        <v>-0.033746200058537346</v>
      </c>
      <c r="N163" s="33">
        <v>-0.016873100029268673</v>
      </c>
      <c r="O163" s="33">
        <v>-0.033746200058537346</v>
      </c>
      <c r="P163" s="33">
        <v>-0.020247720035122405</v>
      </c>
      <c r="Q163" s="33">
        <v>-0.02249746670569156</v>
      </c>
      <c r="R163" s="33">
        <v>-0.008436550014634336</v>
      </c>
      <c r="S163" s="33">
        <v>-0.033746200058537346</v>
      </c>
      <c r="T163" s="33">
        <v>-0.033746200058537346</v>
      </c>
      <c r="U163" s="33">
        <v>-0.033746200058537346</v>
      </c>
    </row>
    <row r="164">
      <c r="A164" s="33">
        <v>0.0</v>
      </c>
      <c r="B164" s="33">
        <v>0.0</v>
      </c>
      <c r="C164" s="33">
        <v>0.2931977209591136</v>
      </c>
      <c r="D164" s="33">
        <v>0.23935789068970925</v>
      </c>
      <c r="E164" s="33">
        <v>-1.887469241901452</v>
      </c>
      <c r="F164" s="33">
        <v>0.06337420320997772</v>
      </c>
      <c r="G164" s="33">
        <v>0.0</v>
      </c>
      <c r="H164" s="33">
        <v>-0.6787368151360688</v>
      </c>
      <c r="I164" s="33">
        <f t="shared" si="90"/>
        <v>-1.970276242</v>
      </c>
      <c r="J164" s="33">
        <f t="shared" si="91"/>
        <v>0.1223592188</v>
      </c>
      <c r="K164" s="33">
        <f>J164^I$7 * (1-J164)^(1 - I$7)</f>
        <v>0.8776407812</v>
      </c>
      <c r="L164" s="33">
        <f>I$7*log(J164)+(1-I$7)*log(1-J164)</f>
        <v>-0.05668320466</v>
      </c>
      <c r="M164" s="33">
        <v>0.12235921878776508</v>
      </c>
      <c r="N164" s="33">
        <v>0.0</v>
      </c>
      <c r="O164" s="33">
        <v>0.0</v>
      </c>
      <c r="P164" s="33">
        <v>0.024471843757553017</v>
      </c>
      <c r="Q164" s="33">
        <v>0.02039320313129418</v>
      </c>
      <c r="R164" s="33">
        <v>0.09176941409082381</v>
      </c>
      <c r="S164" s="33">
        <v>0.008739944199126076</v>
      </c>
      <c r="T164" s="33">
        <v>0.0</v>
      </c>
      <c r="U164" s="33">
        <v>0.12235921878776508</v>
      </c>
    </row>
    <row r="165">
      <c r="L165" s="21" t="s">
        <v>38</v>
      </c>
      <c r="M165" s="33">
        <f t="array" ref="M165">SQRT(AVERAGE(M160:M164^2))</f>
        <v>0.1492637411</v>
      </c>
      <c r="N165" s="33">
        <f t="shared" ref="N165:U165" si="92">AVERAGE(N160:N164)</f>
        <v>0.01810993504</v>
      </c>
      <c r="O165" s="33">
        <f t="shared" si="92"/>
        <v>-0.01056621429</v>
      </c>
      <c r="P165" s="33">
        <f t="shared" si="92"/>
        <v>-0.02815740011</v>
      </c>
      <c r="Q165" s="33">
        <f t="shared" si="92"/>
        <v>-0.02643557293</v>
      </c>
      <c r="R165" s="33">
        <f t="shared" si="92"/>
        <v>0.03525588328</v>
      </c>
      <c r="S165" s="33">
        <f t="shared" si="92"/>
        <v>-0.02089778715</v>
      </c>
      <c r="T165" s="33">
        <f t="shared" si="92"/>
        <v>-0.01056621429</v>
      </c>
      <c r="U165" s="33">
        <f t="shared" si="92"/>
        <v>0.00282843241</v>
      </c>
    </row>
    <row r="166">
      <c r="A166" s="21">
        <f t="shared" ref="A166:H166" si="93">A159-N165*$B$8</f>
        <v>-0.2146962909</v>
      </c>
      <c r="B166" s="21">
        <f t="shared" si="93"/>
        <v>-0.01089301125</v>
      </c>
      <c r="C166" s="21">
        <f t="shared" si="93"/>
        <v>1.494146005</v>
      </c>
      <c r="D166" s="21">
        <f t="shared" si="93"/>
        <v>1.462582917</v>
      </c>
      <c r="E166" s="21">
        <f t="shared" si="93"/>
        <v>-2.551881539</v>
      </c>
      <c r="F166" s="21">
        <f t="shared" si="93"/>
        <v>0.9081366321</v>
      </c>
      <c r="G166" s="21">
        <f t="shared" si="93"/>
        <v>2.068506989</v>
      </c>
      <c r="H166" s="21">
        <f t="shared" si="93"/>
        <v>-0.6815652475</v>
      </c>
      <c r="I166" s="21" t="s">
        <v>35</v>
      </c>
      <c r="J166" s="21" t="s">
        <v>36</v>
      </c>
      <c r="K166" s="21" t="s">
        <v>39</v>
      </c>
      <c r="L166" s="21" t="s">
        <v>40</v>
      </c>
      <c r="M166" s="28" t="s">
        <v>37</v>
      </c>
      <c r="N166" s="31" t="s">
        <v>0</v>
      </c>
      <c r="O166" s="32" t="s">
        <v>1</v>
      </c>
      <c r="P166" s="32" t="s">
        <v>2</v>
      </c>
      <c r="Q166" s="32" t="s">
        <v>3</v>
      </c>
      <c r="R166" s="32" t="s">
        <v>4</v>
      </c>
      <c r="S166" s="32" t="s">
        <v>5</v>
      </c>
      <c r="T166" s="32" t="s">
        <v>6</v>
      </c>
      <c r="U166" s="32" t="s">
        <v>16</v>
      </c>
    </row>
    <row r="167">
      <c r="A167" s="33">
        <f t="array" ref="A167:A171">A$3:A$7*A166</f>
        <v>-0.05367407273</v>
      </c>
      <c r="B167" s="33">
        <f t="array" ref="B167:B171">B$3:B$7*B166</f>
        <v>-0.01089301125</v>
      </c>
      <c r="C167" s="33">
        <f t="array" ref="C167:C171">C$3:C$7*C166</f>
        <v>0.597658402</v>
      </c>
      <c r="D167" s="33">
        <f t="array" ref="D167:D171">D$3:D$7*D166</f>
        <v>0.487527639</v>
      </c>
      <c r="E167" s="33">
        <f t="array" ref="E167:E171">E$3:E$7*E166</f>
        <v>-1.27594077</v>
      </c>
      <c r="F167" s="33">
        <f t="array" ref="F167:F171">F$3:F$7*F166</f>
        <v>0.1297338046</v>
      </c>
      <c r="G167" s="33">
        <f t="array" ref="G167:G171">G$3:G$7*G166</f>
        <v>2.068506989</v>
      </c>
      <c r="H167" s="33">
        <f t="array" ref="H167:H171">H$3:H$7*H166</f>
        <v>-0.6815652475</v>
      </c>
      <c r="I167" s="33">
        <f t="shared" ref="I167:I171" si="94">SUM(A167:H167)</f>
        <v>1.261353733</v>
      </c>
      <c r="J167" s="33">
        <f t="shared" ref="J167:J171" si="95">1/(1 + EXP(-I167))</f>
        <v>0.7792590574</v>
      </c>
      <c r="K167" s="33">
        <f>J167^I$3 * (1-J167)^(1 - I$3)</f>
        <v>0.7792590574</v>
      </c>
      <c r="L167" s="33">
        <f>I$3*log(J167)+(1-I$3)*log(1-J167)</f>
        <v>-0.1083181412</v>
      </c>
      <c r="M167" s="33">
        <f t="array" ref="M167:M171">J167:J171-I$3:I$7</f>
        <v>-0.2207409426</v>
      </c>
      <c r="N167" s="33">
        <f t="array" ref="N167:N171">$M167:$M171*A$3:A$7</f>
        <v>-0.05518523565</v>
      </c>
      <c r="O167" s="33">
        <f t="array" ref="O167:O171">$M167:$M171*B$3:B$7</f>
        <v>-0.2207409426</v>
      </c>
      <c r="P167" s="33">
        <f t="array" ref="P167:P171">$M167:$M171*C$3:C$7</f>
        <v>-0.08829637705</v>
      </c>
      <c r="Q167" s="33">
        <f t="array" ref="Q167:Q171">$M167:$M171*D$3:D$7</f>
        <v>-0.0735803142</v>
      </c>
      <c r="R167" s="33">
        <f t="array" ref="R167:R171">$M167:$M171*E$3:E$7</f>
        <v>-0.1103704713</v>
      </c>
      <c r="S167" s="33">
        <f t="array" ref="S167:S171">$M167:$M171*F$3:F$7</f>
        <v>-0.03153442037</v>
      </c>
      <c r="T167" s="33">
        <f t="array" ref="T167:T171">$M167:$M171*G$3:G$7</f>
        <v>-0.2207409426</v>
      </c>
      <c r="U167" s="33">
        <f t="array" ref="U167:U171">$M167:$M171*H$3:H$7</f>
        <v>-0.2207409426</v>
      </c>
    </row>
    <row r="168">
      <c r="A168" s="33">
        <v>-0.16102221819962798</v>
      </c>
      <c r="B168" s="33">
        <v>0.0</v>
      </c>
      <c r="C168" s="33">
        <v>1.4941460049027793</v>
      </c>
      <c r="D168" s="33">
        <v>1.462582917072501</v>
      </c>
      <c r="E168" s="33">
        <v>0.0</v>
      </c>
      <c r="F168" s="33">
        <v>0.7784028275035373</v>
      </c>
      <c r="G168" s="33">
        <v>0.0</v>
      </c>
      <c r="H168" s="33">
        <v>-0.6815652475460985</v>
      </c>
      <c r="I168" s="33">
        <f t="shared" si="94"/>
        <v>2.892544284</v>
      </c>
      <c r="J168" s="33">
        <f t="shared" si="95"/>
        <v>0.9474766412</v>
      </c>
      <c r="K168" s="33">
        <f>J168^I$4 * (1-J168)^(1 - I$4)</f>
        <v>0.9474766412</v>
      </c>
      <c r="L168" s="33">
        <f>I$4*log(J168)+(1-I$4)*log(1-J168)</f>
        <v>-0.02343148818</v>
      </c>
      <c r="M168" s="33">
        <v>-0.05252335878322589</v>
      </c>
      <c r="N168" s="33">
        <v>-0.03939251908741942</v>
      </c>
      <c r="O168" s="33">
        <v>0.0</v>
      </c>
      <c r="P168" s="33">
        <v>-0.05252335878322589</v>
      </c>
      <c r="Q168" s="33">
        <v>-0.05252335878322589</v>
      </c>
      <c r="R168" s="33">
        <v>0.0</v>
      </c>
      <c r="S168" s="33">
        <v>-0.04502002181419362</v>
      </c>
      <c r="T168" s="33">
        <v>0.0</v>
      </c>
      <c r="U168" s="33">
        <v>-0.05252335878322589</v>
      </c>
    </row>
    <row r="169">
      <c r="A169" s="33">
        <v>-0.2146962909328373</v>
      </c>
      <c r="B169" s="33">
        <v>-0.010893011251729912</v>
      </c>
      <c r="C169" s="33">
        <v>0.0</v>
      </c>
      <c r="D169" s="33">
        <v>0.0</v>
      </c>
      <c r="E169" s="33">
        <v>-2.5518815391482192</v>
      </c>
      <c r="F169" s="33">
        <v>0.0</v>
      </c>
      <c r="G169" s="33">
        <v>2.0685069887482705</v>
      </c>
      <c r="H169" s="33">
        <v>-0.6815652475460985</v>
      </c>
      <c r="I169" s="33">
        <f t="shared" si="94"/>
        <v>-1.3905291</v>
      </c>
      <c r="J169" s="33">
        <f t="shared" si="95"/>
        <v>0.1993233025</v>
      </c>
      <c r="K169" s="33">
        <f>J169^I$5 * (1-J169)^(1 - I$5)</f>
        <v>0.8006766975</v>
      </c>
      <c r="L169" s="33">
        <f>I$5*log(J169)+(1-I$5)*log(1-J169)</f>
        <v>-0.09654281078</v>
      </c>
      <c r="M169" s="33">
        <v>0.19932330246079308</v>
      </c>
      <c r="N169" s="33">
        <v>0.19932330246079308</v>
      </c>
      <c r="O169" s="33">
        <v>0.19932330246079308</v>
      </c>
      <c r="P169" s="33">
        <v>0.0</v>
      </c>
      <c r="Q169" s="33">
        <v>0.0</v>
      </c>
      <c r="R169" s="33">
        <v>0.19932330246079308</v>
      </c>
      <c r="S169" s="33">
        <v>0.0</v>
      </c>
      <c r="T169" s="33">
        <v>0.19932330246079308</v>
      </c>
      <c r="U169" s="33">
        <v>0.19932330246079308</v>
      </c>
    </row>
    <row r="170">
      <c r="A170" s="33">
        <v>-0.10734814546641865</v>
      </c>
      <c r="B170" s="33">
        <v>-0.010893011251729912</v>
      </c>
      <c r="C170" s="33">
        <v>0.8964876029416675</v>
      </c>
      <c r="D170" s="33">
        <v>0.975055278048334</v>
      </c>
      <c r="E170" s="33">
        <v>-0.6379703847870548</v>
      </c>
      <c r="F170" s="33">
        <v>0.9081366320874602</v>
      </c>
      <c r="G170" s="33">
        <v>2.0685069887482705</v>
      </c>
      <c r="H170" s="33">
        <v>-0.6815652475460985</v>
      </c>
      <c r="I170" s="33">
        <f t="shared" si="94"/>
        <v>3.410409713</v>
      </c>
      <c r="J170" s="33">
        <f t="shared" si="95"/>
        <v>0.9680282854</v>
      </c>
      <c r="K170" s="33">
        <f>J170^I$6 * (1-J170)^(1 - I$6)</f>
        <v>0.9680282854</v>
      </c>
      <c r="L170" s="33">
        <f>I$6*log(J170)+(1-I$6)*log(1-J170)</f>
        <v>-0.01411195261</v>
      </c>
      <c r="M170" s="33">
        <v>-0.03197171464229531</v>
      </c>
      <c r="N170" s="33">
        <v>-0.015985857321147656</v>
      </c>
      <c r="O170" s="33">
        <v>-0.03197171464229531</v>
      </c>
      <c r="P170" s="33">
        <v>-0.019183028785377188</v>
      </c>
      <c r="Q170" s="33">
        <v>-0.021314476428196873</v>
      </c>
      <c r="R170" s="33">
        <v>-0.007992928660573828</v>
      </c>
      <c r="S170" s="33">
        <v>-0.03197171464229531</v>
      </c>
      <c r="T170" s="33">
        <v>-0.03197171464229531</v>
      </c>
      <c r="U170" s="33">
        <v>-0.03197171464229531</v>
      </c>
    </row>
    <row r="171">
      <c r="A171" s="33">
        <v>0.0</v>
      </c>
      <c r="B171" s="33">
        <v>0.0</v>
      </c>
      <c r="C171" s="33">
        <v>0.2988292009805559</v>
      </c>
      <c r="D171" s="33">
        <v>0.2437638195120835</v>
      </c>
      <c r="E171" s="33">
        <v>-1.9139111543611644</v>
      </c>
      <c r="F171" s="33">
        <v>0.06486690229196145</v>
      </c>
      <c r="G171" s="33">
        <v>0.0</v>
      </c>
      <c r="H171" s="33">
        <v>-0.6815652475460985</v>
      </c>
      <c r="I171" s="33">
        <f t="shared" si="94"/>
        <v>-1.988016479</v>
      </c>
      <c r="J171" s="33">
        <f t="shared" si="95"/>
        <v>0.1204668675</v>
      </c>
      <c r="K171" s="33">
        <f>J171^I$7 * (1-J171)^(1 - I$7)</f>
        <v>0.8795331325</v>
      </c>
      <c r="L171" s="33">
        <f>I$7*log(J171)+(1-I$7)*log(1-J171)</f>
        <v>-0.05574779577</v>
      </c>
      <c r="M171" s="33">
        <v>0.12046686746838597</v>
      </c>
      <c r="N171" s="33">
        <v>0.0</v>
      </c>
      <c r="O171" s="33">
        <v>0.0</v>
      </c>
      <c r="P171" s="33">
        <v>0.024093373493677198</v>
      </c>
      <c r="Q171" s="33">
        <v>0.020077811244730993</v>
      </c>
      <c r="R171" s="33">
        <v>0.09035015060128948</v>
      </c>
      <c r="S171" s="33">
        <v>0.008604776247741855</v>
      </c>
      <c r="T171" s="33">
        <v>0.0</v>
      </c>
      <c r="U171" s="33">
        <v>0.12046686746838597</v>
      </c>
    </row>
    <row r="172">
      <c r="L172" s="21" t="s">
        <v>38</v>
      </c>
      <c r="M172" s="33">
        <f t="array" ref="M172">SQRT(AVERAGE(M167:M171^2))</f>
        <v>0.1461160515</v>
      </c>
      <c r="N172" s="33">
        <f t="shared" ref="N172:U172" si="96">AVERAGE(N167:N171)</f>
        <v>0.01775193808</v>
      </c>
      <c r="O172" s="33">
        <f t="shared" si="96"/>
        <v>-0.01067787096</v>
      </c>
      <c r="P172" s="33">
        <f t="shared" si="96"/>
        <v>-0.02718187822</v>
      </c>
      <c r="Q172" s="33">
        <f t="shared" si="96"/>
        <v>-0.02546806763</v>
      </c>
      <c r="R172" s="33">
        <f t="shared" si="96"/>
        <v>0.03426201062</v>
      </c>
      <c r="S172" s="33">
        <f t="shared" si="96"/>
        <v>-0.01998427612</v>
      </c>
      <c r="T172" s="33">
        <f t="shared" si="96"/>
        <v>-0.01067787096</v>
      </c>
      <c r="U172" s="33">
        <f t="shared" si="96"/>
        <v>0.002910830778</v>
      </c>
    </row>
    <row r="173">
      <c r="A173" s="21">
        <f t="shared" ref="A173:H173" si="97">A166-N172*$B$8</f>
        <v>-0.232448229</v>
      </c>
      <c r="B173" s="21">
        <f t="shared" si="97"/>
        <v>-0.0002151402928</v>
      </c>
      <c r="C173" s="21">
        <f t="shared" si="97"/>
        <v>1.521327883</v>
      </c>
      <c r="D173" s="21">
        <f t="shared" si="97"/>
        <v>1.488050985</v>
      </c>
      <c r="E173" s="21">
        <f t="shared" si="97"/>
        <v>-2.58614355</v>
      </c>
      <c r="F173" s="21">
        <f t="shared" si="97"/>
        <v>0.9281209082</v>
      </c>
      <c r="G173" s="21">
        <f t="shared" si="97"/>
        <v>2.07918486</v>
      </c>
      <c r="H173" s="21">
        <f t="shared" si="97"/>
        <v>-0.6844760783</v>
      </c>
      <c r="I173" s="21" t="s">
        <v>35</v>
      </c>
      <c r="J173" s="21" t="s">
        <v>36</v>
      </c>
      <c r="K173" s="21" t="s">
        <v>39</v>
      </c>
      <c r="L173" s="21" t="s">
        <v>40</v>
      </c>
      <c r="M173" s="28" t="s">
        <v>37</v>
      </c>
      <c r="N173" s="31" t="s">
        <v>0</v>
      </c>
      <c r="O173" s="32" t="s">
        <v>1</v>
      </c>
      <c r="P173" s="32" t="s">
        <v>2</v>
      </c>
      <c r="Q173" s="32" t="s">
        <v>3</v>
      </c>
      <c r="R173" s="32" t="s">
        <v>4</v>
      </c>
      <c r="S173" s="32" t="s">
        <v>5</v>
      </c>
      <c r="T173" s="32" t="s">
        <v>6</v>
      </c>
      <c r="U173" s="32" t="s">
        <v>16</v>
      </c>
    </row>
    <row r="174">
      <c r="A174" s="33">
        <f t="array" ref="A174:A178">A$3:A$7*A173</f>
        <v>-0.05811205725</v>
      </c>
      <c r="B174" s="33">
        <f t="array" ref="B174:B178">B$3:B$7*B173</f>
        <v>-0.0002151402928</v>
      </c>
      <c r="C174" s="33">
        <f t="array" ref="C174:C178">C$3:C$7*C173</f>
        <v>0.6085311533</v>
      </c>
      <c r="D174" s="33">
        <f t="array" ref="D174:D178">D$3:D$7*D173</f>
        <v>0.4960169949</v>
      </c>
      <c r="E174" s="33">
        <f t="array" ref="E174:E178">E$3:E$7*E173</f>
        <v>-1.293071775</v>
      </c>
      <c r="F174" s="33">
        <f t="array" ref="F174:F178">F$3:F$7*F173</f>
        <v>0.1325887012</v>
      </c>
      <c r="G174" s="33">
        <f t="array" ref="G174:G178">G$3:G$7*G173</f>
        <v>2.07918486</v>
      </c>
      <c r="H174" s="33">
        <f t="array" ref="H174:H178">H$3:H$7*H173</f>
        <v>-0.6844760783</v>
      </c>
      <c r="I174" s="33">
        <f t="shared" ref="I174:I178" si="98">SUM(A174:H174)</f>
        <v>1.280446658</v>
      </c>
      <c r="J174" s="33">
        <f t="shared" ref="J174:J178" si="99">1/(1 + EXP(-I174))</f>
        <v>0.782525798</v>
      </c>
      <c r="K174" s="33">
        <f>J174^I$3 * (1-J174)^(1 - I$3)</f>
        <v>0.782525798</v>
      </c>
      <c r="L174" s="33">
        <f>I$3*log(J174)+(1-I$3)*log(1-J174)</f>
        <v>-0.1065013359</v>
      </c>
      <c r="M174" s="33">
        <f t="array" ref="M174:M178">J174:J178-I$3:I$7</f>
        <v>-0.217474202</v>
      </c>
      <c r="N174" s="33">
        <f t="array" ref="N174:N178">$M174:$M178*A$3:A$7</f>
        <v>-0.05436855051</v>
      </c>
      <c r="O174" s="33">
        <f t="array" ref="O174:O178">$M174:$M178*B$3:B$7</f>
        <v>-0.217474202</v>
      </c>
      <c r="P174" s="33">
        <f t="array" ref="P174:P178">$M174:$M178*C$3:C$7</f>
        <v>-0.08698968082</v>
      </c>
      <c r="Q174" s="33">
        <f t="array" ref="Q174:Q178">$M174:$M178*D$3:D$7</f>
        <v>-0.07249140068</v>
      </c>
      <c r="R174" s="33">
        <f t="array" ref="R174:R178">$M174:$M178*E$3:E$7</f>
        <v>-0.108737101</v>
      </c>
      <c r="S174" s="33">
        <f t="array" ref="S174:S178">$M174:$M178*F$3:F$7</f>
        <v>-0.03106774315</v>
      </c>
      <c r="T174" s="33">
        <f t="array" ref="T174:T178">$M174:$M178*G$3:G$7</f>
        <v>-0.217474202</v>
      </c>
      <c r="U174" s="33">
        <f t="array" ref="U174:U178">$M174:$M178*H$3:H$7</f>
        <v>-0.217474202</v>
      </c>
    </row>
    <row r="175">
      <c r="A175" s="33">
        <v>-0.17433617175946325</v>
      </c>
      <c r="B175" s="33">
        <v>0.0</v>
      </c>
      <c r="C175" s="33">
        <v>1.5213278831268282</v>
      </c>
      <c r="D175" s="33">
        <v>1.4880509847067258</v>
      </c>
      <c r="E175" s="33">
        <v>0.0</v>
      </c>
      <c r="F175" s="33">
        <v>0.7955322070318931</v>
      </c>
      <c r="G175" s="33">
        <v>0.0</v>
      </c>
      <c r="H175" s="33">
        <v>-0.6844760783241708</v>
      </c>
      <c r="I175" s="33">
        <f t="shared" si="98"/>
        <v>2.946098825</v>
      </c>
      <c r="J175" s="33">
        <f t="shared" si="99"/>
        <v>0.9500787838</v>
      </c>
      <c r="K175" s="33">
        <f>J175^I$4 * (1-J175)^(1 - I$4)</f>
        <v>0.9500787838</v>
      </c>
      <c r="L175" s="33">
        <f>I$4*log(J175)+(1-I$4)*log(1-J175)</f>
        <v>-0.02224038002</v>
      </c>
      <c r="M175" s="33">
        <v>-0.04992121619738499</v>
      </c>
      <c r="N175" s="33">
        <v>-0.03744091214803874</v>
      </c>
      <c r="O175" s="33">
        <v>0.0</v>
      </c>
      <c r="P175" s="33">
        <v>-0.04992121619738499</v>
      </c>
      <c r="Q175" s="33">
        <v>-0.04992121619738499</v>
      </c>
      <c r="R175" s="33">
        <v>0.0</v>
      </c>
      <c r="S175" s="33">
        <v>-0.04278961388347285</v>
      </c>
      <c r="T175" s="33">
        <v>0.0</v>
      </c>
      <c r="U175" s="33">
        <v>-0.04992121619738499</v>
      </c>
    </row>
    <row r="176">
      <c r="A176" s="33">
        <v>-0.23244822901261766</v>
      </c>
      <c r="B176" s="33">
        <v>-2.1514029277015095E-4</v>
      </c>
      <c r="C176" s="33">
        <v>0.0</v>
      </c>
      <c r="D176" s="33">
        <v>0.0</v>
      </c>
      <c r="E176" s="33">
        <v>-2.586143549767191</v>
      </c>
      <c r="F176" s="33">
        <v>0.0</v>
      </c>
      <c r="G176" s="33">
        <v>2.0791848597072304</v>
      </c>
      <c r="H176" s="33">
        <v>-0.6844760783241708</v>
      </c>
      <c r="I176" s="33">
        <f t="shared" si="98"/>
        <v>-1.424098138</v>
      </c>
      <c r="J176" s="33">
        <f t="shared" si="99"/>
        <v>0.1940199287</v>
      </c>
      <c r="K176" s="33">
        <f>J176^I$5 * (1-J176)^(1 - I$5)</f>
        <v>0.8059800713</v>
      </c>
      <c r="L176" s="33">
        <f>I$5*log(J176)+(1-I$5)*log(1-J176)</f>
        <v>-0.09367569645</v>
      </c>
      <c r="M176" s="33">
        <v>0.19401992870500484</v>
      </c>
      <c r="N176" s="33">
        <v>0.19401992870500484</v>
      </c>
      <c r="O176" s="33">
        <v>0.19401992870500484</v>
      </c>
      <c r="P176" s="33">
        <v>0.0</v>
      </c>
      <c r="Q176" s="33">
        <v>0.0</v>
      </c>
      <c r="R176" s="33">
        <v>0.19401992870500484</v>
      </c>
      <c r="S176" s="33">
        <v>0.0</v>
      </c>
      <c r="T176" s="33">
        <v>0.19401992870500484</v>
      </c>
      <c r="U176" s="33">
        <v>0.19401992870500484</v>
      </c>
    </row>
    <row r="177">
      <c r="A177" s="33">
        <v>-0.11622411450630883</v>
      </c>
      <c r="B177" s="33">
        <v>-2.1514029277015095E-4</v>
      </c>
      <c r="C177" s="33">
        <v>0.9127967298760968</v>
      </c>
      <c r="D177" s="33">
        <v>0.9920339898044839</v>
      </c>
      <c r="E177" s="33">
        <v>-0.6465358874417978</v>
      </c>
      <c r="F177" s="33">
        <v>0.9281209082038753</v>
      </c>
      <c r="G177" s="33">
        <v>2.0791848597072304</v>
      </c>
      <c r="H177" s="33">
        <v>-0.6844760783241708</v>
      </c>
      <c r="I177" s="33">
        <f t="shared" si="98"/>
        <v>3.464685267</v>
      </c>
      <c r="J177" s="33">
        <f t="shared" si="99"/>
        <v>0.9696660818</v>
      </c>
      <c r="K177" s="33">
        <f>J177^I$6 * (1-J177)^(1 - I$6)</f>
        <v>0.9696660818</v>
      </c>
      <c r="L177" s="33">
        <f>I$6*log(J177)+(1-I$6)*log(1-J177)</f>
        <v>-0.01337779543</v>
      </c>
      <c r="M177" s="33">
        <v>-0.030333918219299427</v>
      </c>
      <c r="N177" s="33">
        <v>-0.015166959109649714</v>
      </c>
      <c r="O177" s="33">
        <v>-0.030333918219299427</v>
      </c>
      <c r="P177" s="33">
        <v>-0.018200350931579654</v>
      </c>
      <c r="Q177" s="33">
        <v>-0.020222612146199616</v>
      </c>
      <c r="R177" s="33">
        <v>-0.007583479554824857</v>
      </c>
      <c r="S177" s="33">
        <v>-0.030333918219299427</v>
      </c>
      <c r="T177" s="33">
        <v>-0.030333918219299427</v>
      </c>
      <c r="U177" s="33">
        <v>-0.030333918219299427</v>
      </c>
    </row>
    <row r="178">
      <c r="A178" s="33">
        <v>0.0</v>
      </c>
      <c r="B178" s="33">
        <v>0.0</v>
      </c>
      <c r="C178" s="33">
        <v>0.3042655766253657</v>
      </c>
      <c r="D178" s="33">
        <v>0.24800849745112097</v>
      </c>
      <c r="E178" s="33">
        <v>-1.9396076623253933</v>
      </c>
      <c r="F178" s="33">
        <v>0.06629435058599109</v>
      </c>
      <c r="G178" s="33">
        <v>0.0</v>
      </c>
      <c r="H178" s="33">
        <v>-0.6844760783241708</v>
      </c>
      <c r="I178" s="33">
        <f t="shared" si="98"/>
        <v>-2.005515316</v>
      </c>
      <c r="J178" s="33">
        <f t="shared" si="99"/>
        <v>0.1186250643</v>
      </c>
      <c r="K178" s="33">
        <f>J178^I$7 * (1-J178)^(1 - I$7)</f>
        <v>0.8813749357</v>
      </c>
      <c r="L178" s="33">
        <f>I$7*log(J178)+(1-I$7)*log(1-J178)</f>
        <v>-0.054839304</v>
      </c>
      <c r="M178" s="33">
        <v>0.11862506431293562</v>
      </c>
      <c r="N178" s="33">
        <v>0.0</v>
      </c>
      <c r="O178" s="33">
        <v>0.0</v>
      </c>
      <c r="P178" s="33">
        <v>0.023725012862587127</v>
      </c>
      <c r="Q178" s="33">
        <v>0.019770844052155935</v>
      </c>
      <c r="R178" s="33">
        <v>0.08896879823470172</v>
      </c>
      <c r="S178" s="33">
        <v>0.008473218879495401</v>
      </c>
      <c r="T178" s="33">
        <v>0.0</v>
      </c>
      <c r="U178" s="33">
        <v>0.11862506431293562</v>
      </c>
    </row>
    <row r="179">
      <c r="L179" s="21" t="s">
        <v>38</v>
      </c>
      <c r="M179" s="33">
        <f t="array" ref="M179">SQRT(AVERAGE(M174:M178^2))</f>
        <v>0.1431243806</v>
      </c>
      <c r="N179" s="33">
        <f t="shared" ref="N179:U179" si="100">AVERAGE(N174:N178)</f>
        <v>0.01740870139</v>
      </c>
      <c r="O179" s="33">
        <f t="shared" si="100"/>
        <v>-0.01075763831</v>
      </c>
      <c r="P179" s="33">
        <f t="shared" si="100"/>
        <v>-0.02627724702</v>
      </c>
      <c r="Q179" s="33">
        <f t="shared" si="100"/>
        <v>-0.02457287699</v>
      </c>
      <c r="R179" s="33">
        <f t="shared" si="100"/>
        <v>0.03333362927</v>
      </c>
      <c r="S179" s="33">
        <f t="shared" si="100"/>
        <v>-0.01914361127</v>
      </c>
      <c r="T179" s="33">
        <f t="shared" si="100"/>
        <v>-0.01075763831</v>
      </c>
      <c r="U179" s="33">
        <f t="shared" si="100"/>
        <v>0.002983131311</v>
      </c>
    </row>
    <row r="180">
      <c r="A180" s="21">
        <f t="shared" ref="A180:H180" si="101">A173-N179*$B$8</f>
        <v>-0.2498569304</v>
      </c>
      <c r="B180" s="21">
        <f t="shared" si="101"/>
        <v>0.01054249802</v>
      </c>
      <c r="C180" s="21">
        <f t="shared" si="101"/>
        <v>1.54760513</v>
      </c>
      <c r="D180" s="21">
        <f t="shared" si="101"/>
        <v>1.512623862</v>
      </c>
      <c r="E180" s="21">
        <f t="shared" si="101"/>
        <v>-2.619477179</v>
      </c>
      <c r="F180" s="21">
        <f t="shared" si="101"/>
        <v>0.9472645195</v>
      </c>
      <c r="G180" s="21">
        <f t="shared" si="101"/>
        <v>2.089942498</v>
      </c>
      <c r="H180" s="21">
        <f t="shared" si="101"/>
        <v>-0.6874592096</v>
      </c>
      <c r="I180" s="21" t="s">
        <v>35</v>
      </c>
      <c r="J180" s="21" t="s">
        <v>36</v>
      </c>
      <c r="K180" s="21" t="s">
        <v>39</v>
      </c>
      <c r="L180" s="21" t="s">
        <v>40</v>
      </c>
      <c r="M180" s="28" t="s">
        <v>37</v>
      </c>
      <c r="N180" s="31" t="s">
        <v>0</v>
      </c>
      <c r="O180" s="32" t="s">
        <v>1</v>
      </c>
      <c r="P180" s="32" t="s">
        <v>2</v>
      </c>
      <c r="Q180" s="32" t="s">
        <v>3</v>
      </c>
      <c r="R180" s="32" t="s">
        <v>4</v>
      </c>
      <c r="S180" s="32" t="s">
        <v>5</v>
      </c>
      <c r="T180" s="32" t="s">
        <v>6</v>
      </c>
      <c r="U180" s="32" t="s">
        <v>16</v>
      </c>
    </row>
    <row r="181">
      <c r="A181" s="33">
        <f t="array" ref="A181:A185">A$3:A$7*A180</f>
        <v>-0.0624642326</v>
      </c>
      <c r="B181" s="33">
        <f t="array" ref="B181:B185">B$3:B$7*B180</f>
        <v>0.01054249802</v>
      </c>
      <c r="C181" s="33">
        <f t="array" ref="C181:C185">C$3:C$7*C180</f>
        <v>0.6190420521</v>
      </c>
      <c r="D181" s="33">
        <f t="array" ref="D181:D185">D$3:D$7*D180</f>
        <v>0.5042079539</v>
      </c>
      <c r="E181" s="33">
        <f t="array" ref="E181:E185">E$3:E$7*E180</f>
        <v>-1.30973859</v>
      </c>
      <c r="F181" s="33">
        <f t="array" ref="F181:F185">F$3:F$7*F180</f>
        <v>0.1353235028</v>
      </c>
      <c r="G181" s="33">
        <f t="array" ref="G181:G185">G$3:G$7*G180</f>
        <v>2.089942498</v>
      </c>
      <c r="H181" s="33">
        <f t="array" ref="H181:H185">H$3:H$7*H180</f>
        <v>-0.6874592096</v>
      </c>
      <c r="I181" s="33">
        <f t="shared" ref="I181:I185" si="102">SUM(A181:H181)</f>
        <v>1.299396473</v>
      </c>
      <c r="J181" s="33">
        <f t="shared" ref="J181:J185" si="103">1/(1 + EXP(-I181))</f>
        <v>0.7857333929</v>
      </c>
      <c r="K181" s="33">
        <f>J181^I$3 * (1-J181)^(1 - I$3)</f>
        <v>0.7857333929</v>
      </c>
      <c r="L181" s="33">
        <f>I$3*log(J181)+(1-I$3)*log(1-J181)</f>
        <v>-0.1047247894</v>
      </c>
      <c r="M181" s="33">
        <f t="array" ref="M181:M185">J181:J185-I$3:I$7</f>
        <v>-0.2142666071</v>
      </c>
      <c r="N181" s="33">
        <f t="array" ref="N181:N185">$M181:$M185*A$3:A$7</f>
        <v>-0.05356665177</v>
      </c>
      <c r="O181" s="33">
        <f t="array" ref="O181:O185">$M181:$M185*B$3:B$7</f>
        <v>-0.2142666071</v>
      </c>
      <c r="P181" s="33">
        <f t="array" ref="P181:P185">$M181:$M185*C$3:C$7</f>
        <v>-0.08570664283</v>
      </c>
      <c r="Q181" s="33">
        <f t="array" ref="Q181:Q185">$M181:$M185*D$3:D$7</f>
        <v>-0.07142220236</v>
      </c>
      <c r="R181" s="33">
        <f t="array" ref="R181:R185">$M181:$M185*E$3:E$7</f>
        <v>-0.1071333035</v>
      </c>
      <c r="S181" s="33">
        <f t="array" ref="S181:S185">$M181:$M185*F$3:F$7</f>
        <v>-0.0306095153</v>
      </c>
      <c r="T181" s="33">
        <f t="array" ref="T181:T185">$M181:$M185*G$3:G$7</f>
        <v>-0.2142666071</v>
      </c>
      <c r="U181" s="33">
        <f t="array" ref="U181:U185">$M181:$M185*H$3:H$7</f>
        <v>-0.2142666071</v>
      </c>
    </row>
    <row r="182">
      <c r="A182" s="33">
        <v>-0.1873926977997555</v>
      </c>
      <c r="B182" s="33">
        <v>0.0</v>
      </c>
      <c r="C182" s="33">
        <v>1.5476051301439548</v>
      </c>
      <c r="D182" s="33">
        <v>1.5126238617015542</v>
      </c>
      <c r="E182" s="33">
        <v>0.0</v>
      </c>
      <c r="F182" s="33">
        <v>0.8119410166958377</v>
      </c>
      <c r="G182" s="33">
        <v>0.0</v>
      </c>
      <c r="H182" s="33">
        <v>-0.6874592096347943</v>
      </c>
      <c r="I182" s="33">
        <f t="shared" si="102"/>
        <v>2.997318101</v>
      </c>
      <c r="J182" s="33">
        <f t="shared" si="103"/>
        <v>0.9524528204</v>
      </c>
      <c r="K182" s="33">
        <f>J182^I$4 * (1-J182)^(1 - I$4)</f>
        <v>0.9524528204</v>
      </c>
      <c r="L182" s="33">
        <f>I$4*log(J182)+(1-I$4)*log(1-J182)</f>
        <v>-0.02115652782</v>
      </c>
      <c r="M182" s="33">
        <v>-0.04754717957520549</v>
      </c>
      <c r="N182" s="33">
        <v>-0.03566038468140412</v>
      </c>
      <c r="O182" s="33">
        <v>0.0</v>
      </c>
      <c r="P182" s="33">
        <v>-0.04754717957520549</v>
      </c>
      <c r="Q182" s="33">
        <v>-0.04754717957520549</v>
      </c>
      <c r="R182" s="33">
        <v>0.0</v>
      </c>
      <c r="S182" s="33">
        <v>-0.04075472535017613</v>
      </c>
      <c r="T182" s="33">
        <v>0.0</v>
      </c>
      <c r="U182" s="33">
        <v>-0.04754717957520549</v>
      </c>
    </row>
    <row r="183">
      <c r="A183" s="33">
        <v>-0.24985693039967402</v>
      </c>
      <c r="B183" s="33">
        <v>0.0105424980197164</v>
      </c>
      <c r="C183" s="33">
        <v>0.0</v>
      </c>
      <c r="D183" s="33">
        <v>0.0</v>
      </c>
      <c r="E183" s="33">
        <v>-2.619477179039354</v>
      </c>
      <c r="F183" s="33">
        <v>0.0</v>
      </c>
      <c r="G183" s="33">
        <v>2.0899424980197168</v>
      </c>
      <c r="H183" s="33">
        <v>-0.6874592096347943</v>
      </c>
      <c r="I183" s="33">
        <f t="shared" si="102"/>
        <v>-1.456308323</v>
      </c>
      <c r="J183" s="33">
        <f t="shared" si="103"/>
        <v>0.1890326071</v>
      </c>
      <c r="K183" s="33">
        <f>J183^I$5 * (1-J183)^(1 - I$5)</f>
        <v>0.8109673929</v>
      </c>
      <c r="L183" s="33">
        <f>I$5*log(J183)+(1-I$5)*log(1-J183)</f>
        <v>-0.09099660738</v>
      </c>
      <c r="M183" s="33">
        <v>0.18903260705602784</v>
      </c>
      <c r="N183" s="33">
        <v>0.18903260705602784</v>
      </c>
      <c r="O183" s="33">
        <v>0.18903260705602784</v>
      </c>
      <c r="P183" s="33">
        <v>0.0</v>
      </c>
      <c r="Q183" s="33">
        <v>0.0</v>
      </c>
      <c r="R183" s="33">
        <v>0.18903260705602784</v>
      </c>
      <c r="S183" s="33">
        <v>0.0</v>
      </c>
      <c r="T183" s="33">
        <v>0.18903260705602784</v>
      </c>
      <c r="U183" s="33">
        <v>0.18903260705602784</v>
      </c>
    </row>
    <row r="184">
      <c r="A184" s="33">
        <v>-0.12492846519983701</v>
      </c>
      <c r="B184" s="33">
        <v>0.0105424980197164</v>
      </c>
      <c r="C184" s="33">
        <v>0.9285630780863728</v>
      </c>
      <c r="D184" s="33">
        <v>1.008415907801036</v>
      </c>
      <c r="E184" s="33">
        <v>-0.6548692947598385</v>
      </c>
      <c r="F184" s="33">
        <v>0.9472645194784775</v>
      </c>
      <c r="G184" s="33">
        <v>2.0899424980197168</v>
      </c>
      <c r="H184" s="33">
        <v>-0.6874592096347943</v>
      </c>
      <c r="I184" s="33">
        <f t="shared" si="102"/>
        <v>3.517471532</v>
      </c>
      <c r="J184" s="33">
        <f t="shared" si="103"/>
        <v>0.9711808199</v>
      </c>
      <c r="K184" s="33">
        <f>J184^I$6 * (1-J184)^(1 - I$6)</f>
        <v>0.9711808199</v>
      </c>
      <c r="L184" s="33">
        <f>I$6*log(J184)+(1-I$6)*log(1-J184)</f>
        <v>-0.01269990316</v>
      </c>
      <c r="M184" s="33">
        <v>-0.028819180051273152</v>
      </c>
      <c r="N184" s="33">
        <v>-0.014409590025636576</v>
      </c>
      <c r="O184" s="33">
        <v>-0.028819180051273152</v>
      </c>
      <c r="P184" s="33">
        <v>-0.017291508030763892</v>
      </c>
      <c r="Q184" s="33">
        <v>-0.019212786700848767</v>
      </c>
      <c r="R184" s="33">
        <v>-0.007204795012818288</v>
      </c>
      <c r="S184" s="33">
        <v>-0.028819180051273152</v>
      </c>
      <c r="T184" s="33">
        <v>-0.028819180051273152</v>
      </c>
      <c r="U184" s="33">
        <v>-0.028819180051273152</v>
      </c>
    </row>
    <row r="185">
      <c r="A185" s="33">
        <v>0.0</v>
      </c>
      <c r="B185" s="33">
        <v>0.0</v>
      </c>
      <c r="C185" s="33">
        <v>0.309521026028791</v>
      </c>
      <c r="D185" s="33">
        <v>0.252103976950259</v>
      </c>
      <c r="E185" s="33">
        <v>-1.9646078842795154</v>
      </c>
      <c r="F185" s="33">
        <v>0.06766175139131982</v>
      </c>
      <c r="G185" s="33">
        <v>0.0</v>
      </c>
      <c r="H185" s="33">
        <v>-0.6874592096347943</v>
      </c>
      <c r="I185" s="33">
        <f t="shared" si="102"/>
        <v>-2.02278034</v>
      </c>
      <c r="J185" s="33">
        <f t="shared" si="103"/>
        <v>0.1168318037</v>
      </c>
      <c r="K185" s="33">
        <f>J185^I$7 * (1-J185)^(1 - I$7)</f>
        <v>0.8831681963</v>
      </c>
      <c r="L185" s="33">
        <f>I$7*log(J185)+(1-I$7)*log(1-J185)</f>
        <v>-0.0539565787</v>
      </c>
      <c r="M185" s="33">
        <v>0.11683180374385017</v>
      </c>
      <c r="N185" s="33">
        <v>0.0</v>
      </c>
      <c r="O185" s="33">
        <v>0.0</v>
      </c>
      <c r="P185" s="33">
        <v>0.023366360748770035</v>
      </c>
      <c r="Q185" s="33">
        <v>0.019471967290641694</v>
      </c>
      <c r="R185" s="33">
        <v>0.08762385280788763</v>
      </c>
      <c r="S185" s="33">
        <v>0.00834512883884644</v>
      </c>
      <c r="T185" s="33">
        <v>0.0</v>
      </c>
      <c r="U185" s="33">
        <v>0.11683180374385017</v>
      </c>
    </row>
    <row r="186">
      <c r="L186" s="21" t="s">
        <v>38</v>
      </c>
      <c r="M186" s="33">
        <f t="array" ref="M186">SQRT(AVERAGE(M181:M185^2))</f>
        <v>0.1402743421</v>
      </c>
      <c r="N186" s="33">
        <f t="shared" ref="N186:U186" si="104">AVERAGE(N181:N185)</f>
        <v>0.01707919612</v>
      </c>
      <c r="O186" s="33">
        <f t="shared" si="104"/>
        <v>-0.01081063602</v>
      </c>
      <c r="P186" s="33">
        <f t="shared" si="104"/>
        <v>-0.02543579394</v>
      </c>
      <c r="Q186" s="33">
        <f t="shared" si="104"/>
        <v>-0.02374204027</v>
      </c>
      <c r="R186" s="33">
        <f t="shared" si="104"/>
        <v>0.03246367226</v>
      </c>
      <c r="S186" s="33">
        <f t="shared" si="104"/>
        <v>-0.01836765837</v>
      </c>
      <c r="T186" s="33">
        <f t="shared" si="104"/>
        <v>-0.01081063602</v>
      </c>
      <c r="U186" s="33">
        <f t="shared" si="104"/>
        <v>0.003046288818</v>
      </c>
    </row>
    <row r="187">
      <c r="A187" s="21">
        <f t="shared" ref="A187:H187" si="105">A180-N186*$B$8</f>
        <v>-0.2669361265</v>
      </c>
      <c r="B187" s="21">
        <f t="shared" si="105"/>
        <v>0.02135313403</v>
      </c>
      <c r="C187" s="21">
        <f t="shared" si="105"/>
        <v>1.573040924</v>
      </c>
      <c r="D187" s="21">
        <f t="shared" si="105"/>
        <v>1.536365902</v>
      </c>
      <c r="E187" s="21">
        <f t="shared" si="105"/>
        <v>-2.651940851</v>
      </c>
      <c r="F187" s="21">
        <f t="shared" si="105"/>
        <v>0.9656321779</v>
      </c>
      <c r="G187" s="21">
        <f t="shared" si="105"/>
        <v>2.100753134</v>
      </c>
      <c r="H187" s="21">
        <f t="shared" si="105"/>
        <v>-0.6905054985</v>
      </c>
      <c r="I187" s="21" t="s">
        <v>35</v>
      </c>
      <c r="J187" s="21" t="s">
        <v>36</v>
      </c>
      <c r="K187" s="21" t="s">
        <v>39</v>
      </c>
      <c r="L187" s="21" t="s">
        <v>40</v>
      </c>
      <c r="M187" s="28" t="s">
        <v>37</v>
      </c>
      <c r="N187" s="31" t="s">
        <v>0</v>
      </c>
      <c r="O187" s="32" t="s">
        <v>1</v>
      </c>
      <c r="P187" s="32" t="s">
        <v>2</v>
      </c>
      <c r="Q187" s="32" t="s">
        <v>3</v>
      </c>
      <c r="R187" s="32" t="s">
        <v>4</v>
      </c>
      <c r="S187" s="32" t="s">
        <v>5</v>
      </c>
      <c r="T187" s="32" t="s">
        <v>6</v>
      </c>
      <c r="U187" s="32" t="s">
        <v>16</v>
      </c>
    </row>
    <row r="188">
      <c r="A188" s="33">
        <f t="array" ref="A188:A192">A$3:A$7*A187</f>
        <v>-0.06673403163</v>
      </c>
      <c r="B188" s="33">
        <f t="array" ref="B188:B192">B$3:B$7*B187</f>
        <v>0.02135313403</v>
      </c>
      <c r="C188" s="33">
        <f t="array" ref="C188:C192">C$3:C$7*C187</f>
        <v>0.6292163696</v>
      </c>
      <c r="D188" s="33">
        <f t="array" ref="D188:D192">D$3:D$7*D187</f>
        <v>0.5121219673</v>
      </c>
      <c r="E188" s="33">
        <f t="array" ref="E188:E192">E$3:E$7*E187</f>
        <v>-1.325970426</v>
      </c>
      <c r="F188" s="33">
        <f t="array" ref="F188:F192">F$3:F$7*F187</f>
        <v>0.137947454</v>
      </c>
      <c r="G188" s="33">
        <f t="array" ref="G188:G192">G$3:G$7*G187</f>
        <v>2.100753134</v>
      </c>
      <c r="H188" s="33">
        <f t="array" ref="H188:H192">H$3:H$7*H187</f>
        <v>-0.6905054985</v>
      </c>
      <c r="I188" s="33">
        <f t="shared" ref="I188:I192" si="106">SUM(A188:H188)</f>
        <v>1.318182103</v>
      </c>
      <c r="J188" s="33">
        <f t="shared" ref="J188:J192" si="107">1/(1 + EXP(-I188))</f>
        <v>0.7888790969</v>
      </c>
      <c r="K188" s="33">
        <f>J188^I$3 * (1-J188)^(1 - I$3)</f>
        <v>0.7888790969</v>
      </c>
      <c r="L188" s="33">
        <f>I$3*log(J188)+(1-I$3)*log(1-J188)</f>
        <v>-0.1029895514</v>
      </c>
      <c r="M188" s="33">
        <f t="array" ref="M188:M192">J188:J192-I$3:I$7</f>
        <v>-0.2111209031</v>
      </c>
      <c r="N188" s="33">
        <f t="array" ref="N188:N192">$M188:$M192*A$3:A$7</f>
        <v>-0.05278022578</v>
      </c>
      <c r="O188" s="33">
        <f t="array" ref="O188:O192">$M188:$M192*B$3:B$7</f>
        <v>-0.2111209031</v>
      </c>
      <c r="P188" s="33">
        <f t="array" ref="P188:P192">$M188:$M192*C$3:C$7</f>
        <v>-0.08444836125</v>
      </c>
      <c r="Q188" s="33">
        <f t="array" ref="Q188:Q192">$M188:$M192*D$3:D$7</f>
        <v>-0.07037363437</v>
      </c>
      <c r="R188" s="33">
        <f t="array" ref="R188:R192">$M188:$M192*E$3:E$7</f>
        <v>-0.1055604516</v>
      </c>
      <c r="S188" s="33">
        <f t="array" ref="S188:S192">$M188:$M192*F$3:F$7</f>
        <v>-0.03016012902</v>
      </c>
      <c r="T188" s="33">
        <f t="array" ref="T188:T192">$M188:$M192*G$3:G$7</f>
        <v>-0.2111209031</v>
      </c>
      <c r="U188" s="33">
        <f t="array" ref="U188:U192">$M188:$M192*H$3:H$7</f>
        <v>-0.2111209031</v>
      </c>
    </row>
    <row r="189">
      <c r="A189" s="33">
        <v>-0.20020209488656432</v>
      </c>
      <c r="B189" s="33">
        <v>0.0</v>
      </c>
      <c r="C189" s="33">
        <v>1.5730409240818786</v>
      </c>
      <c r="D189" s="33">
        <v>1.5363659019707065</v>
      </c>
      <c r="E189" s="33">
        <v>0.0</v>
      </c>
      <c r="F189" s="33">
        <v>0.8276847238718198</v>
      </c>
      <c r="G189" s="33">
        <v>0.0</v>
      </c>
      <c r="H189" s="33">
        <v>-0.6905054984532647</v>
      </c>
      <c r="I189" s="33">
        <f t="shared" si="106"/>
        <v>3.046383957</v>
      </c>
      <c r="J189" s="33">
        <f t="shared" si="107"/>
        <v>0.9546261546</v>
      </c>
      <c r="K189" s="33">
        <f>J189^I$4 * (1-J189)^(1 - I$4)</f>
        <v>0.9546261546</v>
      </c>
      <c r="L189" s="33">
        <f>I$4*log(J189)+(1-I$4)*log(1-J189)</f>
        <v>-0.02016667111</v>
      </c>
      <c r="M189" s="33">
        <v>-0.04537384538146827</v>
      </c>
      <c r="N189" s="33">
        <v>-0.0340303840361012</v>
      </c>
      <c r="O189" s="33">
        <v>0.0</v>
      </c>
      <c r="P189" s="33">
        <v>-0.04537384538146827</v>
      </c>
      <c r="Q189" s="33">
        <v>-0.04537384538146827</v>
      </c>
      <c r="R189" s="33">
        <v>0.0</v>
      </c>
      <c r="S189" s="33">
        <v>-0.03889186746982994</v>
      </c>
      <c r="T189" s="33">
        <v>0.0</v>
      </c>
      <c r="U189" s="33">
        <v>-0.04537384538146827</v>
      </c>
    </row>
    <row r="190">
      <c r="A190" s="33">
        <v>-0.2669361265154191</v>
      </c>
      <c r="B190" s="33">
        <v>0.02135313403497494</v>
      </c>
      <c r="C190" s="33">
        <v>0.0</v>
      </c>
      <c r="D190" s="33">
        <v>0.0</v>
      </c>
      <c r="E190" s="33">
        <v>-2.6519408513014686</v>
      </c>
      <c r="F190" s="33">
        <v>0.0</v>
      </c>
      <c r="G190" s="33">
        <v>2.100753134034975</v>
      </c>
      <c r="H190" s="33">
        <v>-0.6905054984532647</v>
      </c>
      <c r="I190" s="33">
        <f t="shared" si="106"/>
        <v>-1.487276208</v>
      </c>
      <c r="J190" s="33">
        <f t="shared" si="107"/>
        <v>0.1843309057</v>
      </c>
      <c r="K190" s="33">
        <f>J190^I$5 * (1-J190)^(1 - I$5)</f>
        <v>0.8156690943</v>
      </c>
      <c r="L190" s="33">
        <f>I$5*log(J190)+(1-I$5)*log(1-J190)</f>
        <v>-0.08848599279</v>
      </c>
      <c r="M190" s="33">
        <v>0.18433090567897367</v>
      </c>
      <c r="N190" s="33">
        <v>0.18433090567897367</v>
      </c>
      <c r="O190" s="33">
        <v>0.18433090567897367</v>
      </c>
      <c r="P190" s="33">
        <v>0.0</v>
      </c>
      <c r="Q190" s="33">
        <v>0.0</v>
      </c>
      <c r="R190" s="33">
        <v>0.18433090567897367</v>
      </c>
      <c r="S190" s="33">
        <v>0.0</v>
      </c>
      <c r="T190" s="33">
        <v>0.18433090567897367</v>
      </c>
      <c r="U190" s="33">
        <v>0.18433090567897367</v>
      </c>
    </row>
    <row r="191">
      <c r="A191" s="33">
        <v>-0.13346806325770955</v>
      </c>
      <c r="B191" s="33">
        <v>0.02135313403497494</v>
      </c>
      <c r="C191" s="33">
        <v>0.943824554449127</v>
      </c>
      <c r="D191" s="33">
        <v>1.0242439346471377</v>
      </c>
      <c r="E191" s="33">
        <v>-0.6629852128253672</v>
      </c>
      <c r="F191" s="33">
        <v>0.9656321778504565</v>
      </c>
      <c r="G191" s="33">
        <v>2.100753134034975</v>
      </c>
      <c r="H191" s="33">
        <v>-0.6905054984532647</v>
      </c>
      <c r="I191" s="33">
        <f t="shared" si="106"/>
        <v>3.56884816</v>
      </c>
      <c r="J191" s="33">
        <f t="shared" si="107"/>
        <v>0.9725844932</v>
      </c>
      <c r="K191" s="33">
        <f>J191^I$6 * (1-J191)^(1 - I$6)</f>
        <v>0.9725844932</v>
      </c>
      <c r="L191" s="33">
        <f>I$6*log(J191)+(1-I$6)*log(1-J191)</f>
        <v>-0.01207265905</v>
      </c>
      <c r="M191" s="33">
        <v>-0.02741550676775706</v>
      </c>
      <c r="N191" s="33">
        <v>-0.01370775338387853</v>
      </c>
      <c r="O191" s="33">
        <v>-0.02741550676775706</v>
      </c>
      <c r="P191" s="33">
        <v>-0.016449304060654233</v>
      </c>
      <c r="Q191" s="33">
        <v>-0.018277004511838037</v>
      </c>
      <c r="R191" s="33">
        <v>-0.006853876691939265</v>
      </c>
      <c r="S191" s="33">
        <v>-0.02741550676775706</v>
      </c>
      <c r="T191" s="33">
        <v>-0.02741550676775706</v>
      </c>
      <c r="U191" s="33">
        <v>-0.02741550676775706</v>
      </c>
    </row>
    <row r="192">
      <c r="A192" s="33">
        <v>0.0</v>
      </c>
      <c r="B192" s="33">
        <v>0.0</v>
      </c>
      <c r="C192" s="33">
        <v>0.31460818481637576</v>
      </c>
      <c r="D192" s="33">
        <v>0.2560609836617844</v>
      </c>
      <c r="E192" s="33">
        <v>-1.9889556384761016</v>
      </c>
      <c r="F192" s="33">
        <v>0.06897372698931832</v>
      </c>
      <c r="G192" s="33">
        <v>0.0</v>
      </c>
      <c r="H192" s="33">
        <v>-0.6905054984532647</v>
      </c>
      <c r="I192" s="33">
        <f t="shared" si="106"/>
        <v>-2.039818241</v>
      </c>
      <c r="J192" s="33">
        <f t="shared" si="107"/>
        <v>0.1150852412</v>
      </c>
      <c r="K192" s="33">
        <f>J192^I$7 * (1-J192)^(1 - I$7)</f>
        <v>0.8849147588</v>
      </c>
      <c r="L192" s="33">
        <f>I$7*log(J192)+(1-I$7)*log(1-J192)</f>
        <v>-0.05309856156</v>
      </c>
      <c r="M192" s="33">
        <v>0.1150852411543156</v>
      </c>
      <c r="N192" s="33">
        <v>0.0</v>
      </c>
      <c r="O192" s="33">
        <v>0.0</v>
      </c>
      <c r="P192" s="33">
        <v>0.023017048230863122</v>
      </c>
      <c r="Q192" s="33">
        <v>0.019180873525719268</v>
      </c>
      <c r="R192" s="33">
        <v>0.0863139308657367</v>
      </c>
      <c r="S192" s="33">
        <v>0.0082203743681654</v>
      </c>
      <c r="T192" s="33">
        <v>0.0</v>
      </c>
      <c r="U192" s="33">
        <v>0.1150852411543156</v>
      </c>
    </row>
    <row r="193">
      <c r="L193" s="21" t="s">
        <v>38</v>
      </c>
      <c r="M193" s="33">
        <f t="array" ref="M193">SQRT(AVERAGE(M188:M192^2))</f>
        <v>0.1375535729</v>
      </c>
      <c r="N193" s="33">
        <f t="shared" ref="N193:U193" si="108">AVERAGE(N188:N192)</f>
        <v>0.0167625085</v>
      </c>
      <c r="O193" s="33">
        <f t="shared" si="108"/>
        <v>-0.01084110084</v>
      </c>
      <c r="P193" s="33">
        <f t="shared" si="108"/>
        <v>-0.02465089249</v>
      </c>
      <c r="Q193" s="33">
        <f t="shared" si="108"/>
        <v>-0.02296872215</v>
      </c>
      <c r="R193" s="33">
        <f t="shared" si="108"/>
        <v>0.03164610166</v>
      </c>
      <c r="S193" s="33">
        <f t="shared" si="108"/>
        <v>-0.01764942578</v>
      </c>
      <c r="T193" s="33">
        <f t="shared" si="108"/>
        <v>-0.01084110084</v>
      </c>
      <c r="U193" s="33">
        <f t="shared" si="108"/>
        <v>0.003101178313</v>
      </c>
    </row>
    <row r="194">
      <c r="A194" s="21">
        <f t="shared" ref="A194:H194" si="109">A187-N193*$B$8</f>
        <v>-0.283698635</v>
      </c>
      <c r="B194" s="21">
        <f t="shared" si="109"/>
        <v>0.03219423488</v>
      </c>
      <c r="C194" s="21">
        <f t="shared" si="109"/>
        <v>1.597691817</v>
      </c>
      <c r="D194" s="21">
        <f t="shared" si="109"/>
        <v>1.559334624</v>
      </c>
      <c r="E194" s="21">
        <f t="shared" si="109"/>
        <v>-2.683586953</v>
      </c>
      <c r="F194" s="21">
        <f t="shared" si="109"/>
        <v>0.9832816036</v>
      </c>
      <c r="G194" s="21">
        <f t="shared" si="109"/>
        <v>2.111594235</v>
      </c>
      <c r="H194" s="21">
        <f t="shared" si="109"/>
        <v>-0.6936066768</v>
      </c>
      <c r="I194" s="21" t="s">
        <v>35</v>
      </c>
      <c r="J194" s="21" t="s">
        <v>36</v>
      </c>
      <c r="K194" s="21" t="s">
        <v>39</v>
      </c>
      <c r="L194" s="21" t="s">
        <v>40</v>
      </c>
      <c r="M194" s="28" t="s">
        <v>37</v>
      </c>
      <c r="N194" s="31" t="s">
        <v>0</v>
      </c>
      <c r="O194" s="32" t="s">
        <v>1</v>
      </c>
      <c r="P194" s="32" t="s">
        <v>2</v>
      </c>
      <c r="Q194" s="32" t="s">
        <v>3</v>
      </c>
      <c r="R194" s="32" t="s">
        <v>4</v>
      </c>
      <c r="S194" s="32" t="s">
        <v>5</v>
      </c>
      <c r="T194" s="32" t="s">
        <v>6</v>
      </c>
      <c r="U194" s="32" t="s">
        <v>16</v>
      </c>
    </row>
    <row r="195">
      <c r="A195" s="33">
        <f t="array" ref="A195:A199">A$3:A$7*A194</f>
        <v>-0.07092465875</v>
      </c>
      <c r="B195" s="33">
        <f t="array" ref="B195:B199">B$3:B$7*B194</f>
        <v>0.03219423488</v>
      </c>
      <c r="C195" s="33">
        <f t="array" ref="C195:C199">C$3:C$7*C194</f>
        <v>0.6390767266</v>
      </c>
      <c r="D195" s="33">
        <f t="array" ref="D195:D199">D$3:D$7*D194</f>
        <v>0.519778208</v>
      </c>
      <c r="E195" s="33">
        <f t="array" ref="E195:E199">E$3:E$7*E194</f>
        <v>-1.341793476</v>
      </c>
      <c r="F195" s="33">
        <f t="array" ref="F195:F199">F$3:F$7*F194</f>
        <v>0.1404688005</v>
      </c>
      <c r="G195" s="33">
        <f t="array" ref="G195:G199">G$3:G$7*G194</f>
        <v>2.111594235</v>
      </c>
      <c r="H195" s="33">
        <f t="array" ref="H195:H199">H$3:H$7*H194</f>
        <v>-0.6936066768</v>
      </c>
      <c r="I195" s="33">
        <f t="shared" ref="I195:I199" si="110">SUM(A195:H195)</f>
        <v>1.336787393</v>
      </c>
      <c r="J195" s="33">
        <f t="shared" ref="J195:J199" si="111">1/(1 + EXP(-I195))</f>
        <v>0.7919611329</v>
      </c>
      <c r="K195" s="33">
        <f>J195^I$3 * (1-J195)^(1 - I$3)</f>
        <v>0.7919611329</v>
      </c>
      <c r="L195" s="33">
        <f>I$3*log(J195)+(1-I$3)*log(1-J195)</f>
        <v>-0.1012961317</v>
      </c>
      <c r="M195" s="33">
        <f t="array" ref="M195:M199">J195:J199-I$3:I$7</f>
        <v>-0.2080388671</v>
      </c>
      <c r="N195" s="33">
        <f t="array" ref="N195:N199">$M195:$M199*A$3:A$7</f>
        <v>-0.05200971676</v>
      </c>
      <c r="O195" s="33">
        <f t="array" ref="O195:O199">$M195:$M199*B$3:B$7</f>
        <v>-0.2080388671</v>
      </c>
      <c r="P195" s="33">
        <f t="array" ref="P195:P199">$M195:$M199*C$3:C$7</f>
        <v>-0.08321554682</v>
      </c>
      <c r="Q195" s="33">
        <f t="array" ref="Q195:Q199">$M195:$M199*D$3:D$7</f>
        <v>-0.06934628902</v>
      </c>
      <c r="R195" s="33">
        <f t="array" ref="R195:R199">$M195:$M199*E$3:E$7</f>
        <v>-0.1040194335</v>
      </c>
      <c r="S195" s="33">
        <f t="array" ref="S195:S199">$M195:$M199*F$3:F$7</f>
        <v>-0.02971983815</v>
      </c>
      <c r="T195" s="33">
        <f t="array" ref="T195:T199">$M195:$M199*G$3:G$7</f>
        <v>-0.2080388671</v>
      </c>
      <c r="U195" s="33">
        <f t="array" ref="U195:U199">$M195:$M199*H$3:H$7</f>
        <v>-0.2080388671</v>
      </c>
    </row>
    <row r="196">
      <c r="A196" s="33">
        <v>-0.21277397625843952</v>
      </c>
      <c r="B196" s="33">
        <v>0.0</v>
      </c>
      <c r="C196" s="33">
        <v>1.5976918165736747</v>
      </c>
      <c r="D196" s="33">
        <v>1.5593346241188442</v>
      </c>
      <c r="E196" s="33">
        <v>0.0</v>
      </c>
      <c r="F196" s="33">
        <v>0.8428128031094996</v>
      </c>
      <c r="G196" s="33">
        <v>0.0</v>
      </c>
      <c r="H196" s="33">
        <v>-0.6936066767662167</v>
      </c>
      <c r="I196" s="33">
        <f t="shared" si="110"/>
        <v>3.093458591</v>
      </c>
      <c r="J196" s="33">
        <f t="shared" si="111"/>
        <v>0.9566221105</v>
      </c>
      <c r="K196" s="33">
        <f>J196^I$4 * (1-J196)^(1 - I$4)</f>
        <v>0.9566221105</v>
      </c>
      <c r="L196" s="33">
        <f>I$4*log(J196)+(1-I$4)*log(1-J196)</f>
        <v>-0.01925958548</v>
      </c>
      <c r="M196" s="33">
        <v>-0.04337788954441779</v>
      </c>
      <c r="N196" s="33">
        <v>-0.032533417158313344</v>
      </c>
      <c r="O196" s="33">
        <v>0.0</v>
      </c>
      <c r="P196" s="33">
        <v>-0.04337788954441779</v>
      </c>
      <c r="Q196" s="33">
        <v>-0.04337788954441779</v>
      </c>
      <c r="R196" s="33">
        <v>0.0</v>
      </c>
      <c r="S196" s="33">
        <v>-0.037181048180929537</v>
      </c>
      <c r="T196" s="33">
        <v>0.0</v>
      </c>
      <c r="U196" s="33">
        <v>-0.04337788954441779</v>
      </c>
    </row>
    <row r="197">
      <c r="A197" s="33">
        <v>-0.2836986350112527</v>
      </c>
      <c r="B197" s="33">
        <v>0.03219423487659241</v>
      </c>
      <c r="C197" s="33">
        <v>0.0</v>
      </c>
      <c r="D197" s="33">
        <v>0.0</v>
      </c>
      <c r="E197" s="33">
        <v>-2.6835869529600926</v>
      </c>
      <c r="F197" s="33">
        <v>0.0</v>
      </c>
      <c r="G197" s="33">
        <v>2.1115942348765926</v>
      </c>
      <c r="H197" s="33">
        <v>-0.6936066767662167</v>
      </c>
      <c r="I197" s="33">
        <f t="shared" si="110"/>
        <v>-1.517103795</v>
      </c>
      <c r="J197" s="33">
        <f t="shared" si="111"/>
        <v>0.1798883963</v>
      </c>
      <c r="K197" s="33">
        <f>J197^I$5 * (1-J197)^(1 - I$5)</f>
        <v>0.8201116037</v>
      </c>
      <c r="L197" s="33">
        <f>I$5*log(J197)+(1-I$5)*log(1-J197)</f>
        <v>-0.08612704326</v>
      </c>
      <c r="M197" s="33">
        <v>0.17988839630643563</v>
      </c>
      <c r="N197" s="33">
        <v>0.17988839630643563</v>
      </c>
      <c r="O197" s="33">
        <v>0.17988839630643563</v>
      </c>
      <c r="P197" s="33">
        <v>0.0</v>
      </c>
      <c r="Q197" s="33">
        <v>0.0</v>
      </c>
      <c r="R197" s="33">
        <v>0.17988839630643563</v>
      </c>
      <c r="S197" s="33">
        <v>0.0</v>
      </c>
      <c r="T197" s="33">
        <v>0.17988839630643563</v>
      </c>
      <c r="U197" s="33">
        <v>0.17988839630643563</v>
      </c>
    </row>
    <row r="198">
      <c r="A198" s="33">
        <v>-0.14184931750562635</v>
      </c>
      <c r="B198" s="33">
        <v>0.03219423487659241</v>
      </c>
      <c r="C198" s="33">
        <v>0.9586150899442047</v>
      </c>
      <c r="D198" s="33">
        <v>1.0395564160792294</v>
      </c>
      <c r="E198" s="33">
        <v>-0.6708967382400232</v>
      </c>
      <c r="F198" s="33">
        <v>0.9832816036277495</v>
      </c>
      <c r="G198" s="33">
        <v>2.1115942348765926</v>
      </c>
      <c r="H198" s="33">
        <v>-0.6936066767662167</v>
      </c>
      <c r="I198" s="33">
        <f t="shared" si="110"/>
        <v>3.618888847</v>
      </c>
      <c r="J198" s="33">
        <f t="shared" si="111"/>
        <v>0.9738876826</v>
      </c>
      <c r="K198" s="33">
        <f>J198^I$6 * (1-J198)^(1 - I$6)</f>
        <v>0.9738876826</v>
      </c>
      <c r="L198" s="33">
        <f>I$6*log(J198)+(1-I$6)*log(1-J198)</f>
        <v>-0.01149112695</v>
      </c>
      <c r="M198" s="33">
        <v>-0.026112317411601915</v>
      </c>
      <c r="N198" s="33">
        <v>-0.013056158705800958</v>
      </c>
      <c r="O198" s="33">
        <v>-0.026112317411601915</v>
      </c>
      <c r="P198" s="33">
        <v>-0.01566739044696115</v>
      </c>
      <c r="Q198" s="33">
        <v>-0.01740821160773461</v>
      </c>
      <c r="R198" s="33">
        <v>-0.006528079352900479</v>
      </c>
      <c r="S198" s="33">
        <v>-0.026112317411601915</v>
      </c>
      <c r="T198" s="33">
        <v>-0.026112317411601915</v>
      </c>
      <c r="U198" s="33">
        <v>-0.026112317411601915</v>
      </c>
    </row>
    <row r="199">
      <c r="A199" s="33">
        <v>0.0</v>
      </c>
      <c r="B199" s="33">
        <v>0.0</v>
      </c>
      <c r="C199" s="33">
        <v>0.31953836331473495</v>
      </c>
      <c r="D199" s="33">
        <v>0.25988910401980736</v>
      </c>
      <c r="E199" s="33">
        <v>-2.0126902147200694</v>
      </c>
      <c r="F199" s="33">
        <v>0.07023440025912496</v>
      </c>
      <c r="G199" s="33">
        <v>0.0</v>
      </c>
      <c r="H199" s="33">
        <v>-0.6936066767662167</v>
      </c>
      <c r="I199" s="33">
        <f t="shared" si="110"/>
        <v>-2.056635024</v>
      </c>
      <c r="J199" s="33">
        <f t="shared" si="111"/>
        <v>0.1133836639</v>
      </c>
      <c r="K199" s="33">
        <f>J199^I$7 * (1-J199)^(1 - I$7)</f>
        <v>0.8866163361</v>
      </c>
      <c r="L199" s="33">
        <f>I$7*log(J199)+(1-I$7)*log(1-J199)</f>
        <v>-0.052264271</v>
      </c>
      <c r="M199" s="33">
        <v>0.11338366392108298</v>
      </c>
      <c r="N199" s="33">
        <v>0.0</v>
      </c>
      <c r="O199" s="33">
        <v>0.0</v>
      </c>
      <c r="P199" s="33">
        <v>0.0226767327842166</v>
      </c>
      <c r="Q199" s="33">
        <v>0.018897277320180497</v>
      </c>
      <c r="R199" s="33">
        <v>0.08503774794081223</v>
      </c>
      <c r="S199" s="33">
        <v>0.008098833137220212</v>
      </c>
      <c r="T199" s="33">
        <v>0.0</v>
      </c>
      <c r="U199" s="33">
        <v>0.11338366392108298</v>
      </c>
    </row>
    <row r="200">
      <c r="L200" s="21" t="s">
        <v>38</v>
      </c>
      <c r="M200" s="33">
        <f t="array" ref="M200">SQRT(AVERAGE(M195:M199^2))</f>
        <v>0.1349513653</v>
      </c>
      <c r="N200" s="33">
        <f t="shared" ref="N200:U200" si="112">AVERAGE(N195:N199)</f>
        <v>0.01645782074</v>
      </c>
      <c r="O200" s="33">
        <f t="shared" si="112"/>
        <v>-0.01085255763</v>
      </c>
      <c r="P200" s="33">
        <f t="shared" si="112"/>
        <v>-0.02391681881</v>
      </c>
      <c r="Q200" s="33">
        <f t="shared" si="112"/>
        <v>-0.02224702257</v>
      </c>
      <c r="R200" s="33">
        <f t="shared" si="112"/>
        <v>0.03087572627</v>
      </c>
      <c r="S200" s="33">
        <f t="shared" si="112"/>
        <v>-0.01698287412</v>
      </c>
      <c r="T200" s="33">
        <f t="shared" si="112"/>
        <v>-0.01085255763</v>
      </c>
      <c r="U200" s="33">
        <f t="shared" si="112"/>
        <v>0.003148597243</v>
      </c>
    </row>
    <row r="201">
      <c r="A201" s="21">
        <f t="shared" ref="A201:H201" si="113">A194-N200*$B$8</f>
        <v>-0.3001564557</v>
      </c>
      <c r="B201" s="21">
        <f t="shared" si="113"/>
        <v>0.04304679251</v>
      </c>
      <c r="C201" s="21">
        <f t="shared" si="113"/>
        <v>1.621608635</v>
      </c>
      <c r="D201" s="21">
        <f t="shared" si="113"/>
        <v>1.581581647</v>
      </c>
      <c r="E201" s="21">
        <f t="shared" si="113"/>
        <v>-2.714462679</v>
      </c>
      <c r="F201" s="21">
        <f t="shared" si="113"/>
        <v>1.000264478</v>
      </c>
      <c r="G201" s="21">
        <f t="shared" si="113"/>
        <v>2.122446793</v>
      </c>
      <c r="H201" s="21">
        <f t="shared" si="113"/>
        <v>-0.696755274</v>
      </c>
      <c r="I201" s="21" t="s">
        <v>35</v>
      </c>
      <c r="J201" s="21" t="s">
        <v>36</v>
      </c>
      <c r="K201" s="21" t="s">
        <v>39</v>
      </c>
      <c r="L201" s="21" t="s">
        <v>40</v>
      </c>
      <c r="M201" s="28" t="s">
        <v>37</v>
      </c>
      <c r="N201" s="31" t="s">
        <v>0</v>
      </c>
      <c r="O201" s="32" t="s">
        <v>1</v>
      </c>
      <c r="P201" s="32" t="s">
        <v>2</v>
      </c>
      <c r="Q201" s="32" t="s">
        <v>3</v>
      </c>
      <c r="R201" s="32" t="s">
        <v>4</v>
      </c>
      <c r="S201" s="32" t="s">
        <v>5</v>
      </c>
      <c r="T201" s="32" t="s">
        <v>6</v>
      </c>
      <c r="U201" s="32" t="s">
        <v>16</v>
      </c>
    </row>
    <row r="202">
      <c r="A202" s="33">
        <f t="array" ref="A202:A206">A$3:A$7*A201</f>
        <v>-0.07503911394</v>
      </c>
      <c r="B202" s="33">
        <f t="array" ref="B202:B206">B$3:B$7*B201</f>
        <v>0.04304679251</v>
      </c>
      <c r="C202" s="33">
        <f t="array" ref="C202:C206">C$3:C$7*C201</f>
        <v>0.6486434542</v>
      </c>
      <c r="D202" s="33">
        <f t="array" ref="D202:D206">D$3:D$7*D201</f>
        <v>0.5271938822</v>
      </c>
      <c r="E202" s="33">
        <f t="array" ref="E202:E206">E$3:E$7*E201</f>
        <v>-1.35723134</v>
      </c>
      <c r="F202" s="33">
        <f t="array" ref="F202:F206">F$3:F$7*F201</f>
        <v>0.1428949254</v>
      </c>
      <c r="G202" s="33">
        <f t="array" ref="G202:G206">G$3:G$7*G201</f>
        <v>2.122446793</v>
      </c>
      <c r="H202" s="33">
        <f t="array" ref="H202:H206">H$3:H$7*H201</f>
        <v>-0.696755274</v>
      </c>
      <c r="I202" s="33">
        <f t="shared" ref="I202:I206" si="114">SUM(A202:H202)</f>
        <v>1.355200119</v>
      </c>
      <c r="J202" s="33">
        <f t="shared" ref="J202:J206" si="115">1/(1 + EXP(-I202))</f>
        <v>0.7949784838</v>
      </c>
      <c r="K202" s="33">
        <f>J202^I$3 * (1-J202)^(1 - I$3)</f>
        <v>0.7949784838</v>
      </c>
      <c r="L202" s="33">
        <f>I$3*log(J202)+(1-I$3)*log(1-J202)</f>
        <v>-0.09964462542</v>
      </c>
      <c r="M202" s="33">
        <f t="array" ref="M202:M206">J202:J206-I$3:I$7</f>
        <v>-0.2050215162</v>
      </c>
      <c r="N202" s="33">
        <f t="array" ref="N202:N206">$M202:$M206*A$3:A$7</f>
        <v>-0.05125537905</v>
      </c>
      <c r="O202" s="33">
        <f t="array" ref="O202:O206">$M202:$M206*B$3:B$7</f>
        <v>-0.2050215162</v>
      </c>
      <c r="P202" s="33">
        <f t="array" ref="P202:P206">$M202:$M206*C$3:C$7</f>
        <v>-0.08200860648</v>
      </c>
      <c r="Q202" s="33">
        <f t="array" ref="Q202:Q206">$M202:$M206*D$3:D$7</f>
        <v>-0.0683405054</v>
      </c>
      <c r="R202" s="33">
        <f t="array" ref="R202:R206">$M202:$M206*E$3:E$7</f>
        <v>-0.1025107581</v>
      </c>
      <c r="S202" s="33">
        <f t="array" ref="S202:S206">$M202:$M206*F$3:F$7</f>
        <v>-0.02928878803</v>
      </c>
      <c r="T202" s="33">
        <f t="array" ref="T202:T206">$M202:$M206*G$3:G$7</f>
        <v>-0.2050215162</v>
      </c>
      <c r="U202" s="33">
        <f t="array" ref="U202:U206">$M202:$M206*H$3:H$7</f>
        <v>-0.2050215162</v>
      </c>
    </row>
    <row r="203">
      <c r="A203" s="33">
        <v>-0.22511734181011378</v>
      </c>
      <c r="B203" s="33">
        <v>0.0</v>
      </c>
      <c r="C203" s="33">
        <v>1.621608635379745</v>
      </c>
      <c r="D203" s="33">
        <v>1.5815816466891033</v>
      </c>
      <c r="E203" s="33">
        <v>0.0</v>
      </c>
      <c r="F203" s="33">
        <v>0.8573695523563195</v>
      </c>
      <c r="G203" s="33">
        <v>0.0</v>
      </c>
      <c r="H203" s="33">
        <v>-0.696755274008922</v>
      </c>
      <c r="I203" s="33">
        <f t="shared" si="114"/>
        <v>3.138687219</v>
      </c>
      <c r="J203" s="33">
        <f t="shared" si="115"/>
        <v>0.9584606453</v>
      </c>
      <c r="K203" s="33">
        <f>J203^I$4 * (1-J203)^(1 - I$4)</f>
        <v>0.9584606453</v>
      </c>
      <c r="L203" s="33">
        <f>I$4*log(J203)+(1-I$4)*log(1-J203)</f>
        <v>-0.0184257147</v>
      </c>
      <c r="M203" s="33">
        <v>-0.04153935471993486</v>
      </c>
      <c r="N203" s="33">
        <v>-0.031154516039951147</v>
      </c>
      <c r="O203" s="33">
        <v>0.0</v>
      </c>
      <c r="P203" s="33">
        <v>-0.04153935471993486</v>
      </c>
      <c r="Q203" s="33">
        <v>-0.04153935471993486</v>
      </c>
      <c r="R203" s="33">
        <v>0.0</v>
      </c>
      <c r="S203" s="33">
        <v>-0.035605161188515595</v>
      </c>
      <c r="T203" s="33">
        <v>0.0</v>
      </c>
      <c r="U203" s="33">
        <v>-0.04153935471993486</v>
      </c>
    </row>
    <row r="204">
      <c r="A204" s="33">
        <v>-0.3001564557468184</v>
      </c>
      <c r="B204" s="33">
        <v>0.04304679250922014</v>
      </c>
      <c r="C204" s="33">
        <v>0.0</v>
      </c>
      <c r="D204" s="33">
        <v>0.0</v>
      </c>
      <c r="E204" s="33">
        <v>-2.714462679233165</v>
      </c>
      <c r="F204" s="33">
        <v>0.0</v>
      </c>
      <c r="G204" s="33">
        <v>2.1224467925092205</v>
      </c>
      <c r="H204" s="33">
        <v>-0.696755274008922</v>
      </c>
      <c r="I204" s="33">
        <f t="shared" si="114"/>
        <v>-1.545880824</v>
      </c>
      <c r="J204" s="33">
        <f t="shared" si="115"/>
        <v>0.1756820016</v>
      </c>
      <c r="K204" s="33">
        <f>J204^I$5 * (1-J204)^(1 - I$5)</f>
        <v>0.8243179984</v>
      </c>
      <c r="L204" s="33">
        <f>I$5*log(J204)+(1-I$5)*log(1-J204)</f>
        <v>-0.08390521755</v>
      </c>
      <c r="M204" s="33">
        <v>0.17568200162611836</v>
      </c>
      <c r="N204" s="33">
        <v>0.17568200162611836</v>
      </c>
      <c r="O204" s="33">
        <v>0.17568200162611836</v>
      </c>
      <c r="P204" s="33">
        <v>0.0</v>
      </c>
      <c r="Q204" s="33">
        <v>0.0</v>
      </c>
      <c r="R204" s="33">
        <v>0.17568200162611836</v>
      </c>
      <c r="S204" s="33">
        <v>0.0</v>
      </c>
      <c r="T204" s="33">
        <v>0.17568200162611836</v>
      </c>
      <c r="U204" s="33">
        <v>0.17568200162611836</v>
      </c>
    </row>
    <row r="205">
      <c r="A205" s="33">
        <v>-0.1500782278734092</v>
      </c>
      <c r="B205" s="33">
        <v>0.04304679250922014</v>
      </c>
      <c r="C205" s="33">
        <v>0.9729651812278469</v>
      </c>
      <c r="D205" s="33">
        <v>1.0543877644594022</v>
      </c>
      <c r="E205" s="33">
        <v>-0.6786156698082912</v>
      </c>
      <c r="F205" s="33">
        <v>1.0002644777490395</v>
      </c>
      <c r="G205" s="33">
        <v>2.1224467925092205</v>
      </c>
      <c r="H205" s="33">
        <v>-0.696755274008922</v>
      </c>
      <c r="I205" s="33">
        <f t="shared" si="114"/>
        <v>3.667661837</v>
      </c>
      <c r="J205" s="33">
        <f t="shared" si="115"/>
        <v>0.9750997477</v>
      </c>
      <c r="K205" s="33">
        <f>J205^I$6 * (1-J205)^(1 - I$6)</f>
        <v>0.9750997477</v>
      </c>
      <c r="L205" s="33">
        <f>I$6*log(J205)+(1-I$6)*log(1-J205)</f>
        <v>-0.01095095591</v>
      </c>
      <c r="M205" s="33">
        <v>-0.024900252260782407</v>
      </c>
      <c r="N205" s="33">
        <v>-0.012450126130391204</v>
      </c>
      <c r="O205" s="33">
        <v>-0.024900252260782407</v>
      </c>
      <c r="P205" s="33">
        <v>-0.014940151356469443</v>
      </c>
      <c r="Q205" s="33">
        <v>-0.016600168173854936</v>
      </c>
      <c r="R205" s="33">
        <v>-0.006225063065195602</v>
      </c>
      <c r="S205" s="33">
        <v>-0.024900252260782407</v>
      </c>
      <c r="T205" s="33">
        <v>-0.024900252260782407</v>
      </c>
      <c r="U205" s="33">
        <v>-0.024900252260782407</v>
      </c>
    </row>
    <row r="206">
      <c r="A206" s="33">
        <v>0.0</v>
      </c>
      <c r="B206" s="33">
        <v>0.0</v>
      </c>
      <c r="C206" s="33">
        <v>0.32432172707594903</v>
      </c>
      <c r="D206" s="33">
        <v>0.26359694111485055</v>
      </c>
      <c r="E206" s="33">
        <v>-2.0358470094248737</v>
      </c>
      <c r="F206" s="33">
        <v>0.07144746269635996</v>
      </c>
      <c r="G206" s="33">
        <v>0.0</v>
      </c>
      <c r="H206" s="33">
        <v>-0.696755274008922</v>
      </c>
      <c r="I206" s="33">
        <f t="shared" si="114"/>
        <v>-2.073236153</v>
      </c>
      <c r="J206" s="33">
        <f t="shared" si="115"/>
        <v>0.1117254697</v>
      </c>
      <c r="K206" s="33">
        <f>J206^I$7 * (1-J206)^(1 - I$7)</f>
        <v>0.8882745303</v>
      </c>
      <c r="L206" s="33">
        <f>I$7*log(J206)+(1-I$7)*log(1-J206)</f>
        <v>-0.05145279032</v>
      </c>
      <c r="M206" s="33">
        <v>0.11172546965303926</v>
      </c>
      <c r="N206" s="33">
        <v>0.0</v>
      </c>
      <c r="O206" s="33">
        <v>0.0</v>
      </c>
      <c r="P206" s="33">
        <v>0.02234509393060785</v>
      </c>
      <c r="Q206" s="33">
        <v>0.018620911608839875</v>
      </c>
      <c r="R206" s="33">
        <v>0.08379410223977944</v>
      </c>
      <c r="S206" s="33">
        <v>0.007980390689502804</v>
      </c>
      <c r="T206" s="33">
        <v>0.0</v>
      </c>
      <c r="U206" s="33">
        <v>0.11172546965303926</v>
      </c>
    </row>
    <row r="207">
      <c r="L207" s="21" t="s">
        <v>38</v>
      </c>
      <c r="M207" s="33">
        <f t="array" ref="M207">SQRT(AVERAGE(M202:M206^2))</f>
        <v>0.1324583776</v>
      </c>
      <c r="N207" s="33">
        <f t="shared" ref="N207:U207" si="116">AVERAGE(N202:N206)</f>
        <v>0.01616439608</v>
      </c>
      <c r="O207" s="33">
        <f t="shared" si="116"/>
        <v>-0.01084795337</v>
      </c>
      <c r="P207" s="33">
        <f t="shared" si="116"/>
        <v>-0.02322860372</v>
      </c>
      <c r="Q207" s="33">
        <f t="shared" si="116"/>
        <v>-0.02157182334</v>
      </c>
      <c r="R207" s="33">
        <f t="shared" si="116"/>
        <v>0.03014805654</v>
      </c>
      <c r="S207" s="33">
        <f t="shared" si="116"/>
        <v>-0.01636276216</v>
      </c>
      <c r="T207" s="33">
        <f t="shared" si="116"/>
        <v>-0.01084795337</v>
      </c>
      <c r="U207" s="33">
        <f t="shared" si="116"/>
        <v>0.003189269621</v>
      </c>
    </row>
    <row r="208">
      <c r="A208" s="21">
        <f t="shared" ref="A208:H208" si="117">A201-N207*$B$8</f>
        <v>-0.3163208518</v>
      </c>
      <c r="B208" s="21">
        <f t="shared" si="117"/>
        <v>0.05389474587</v>
      </c>
      <c r="C208" s="21">
        <f t="shared" si="117"/>
        <v>1.644837239</v>
      </c>
      <c r="D208" s="21">
        <f t="shared" si="117"/>
        <v>1.60315347</v>
      </c>
      <c r="E208" s="21">
        <f t="shared" si="117"/>
        <v>-2.744610736</v>
      </c>
      <c r="F208" s="21">
        <f t="shared" si="117"/>
        <v>1.01662724</v>
      </c>
      <c r="G208" s="21">
        <f t="shared" si="117"/>
        <v>2.133294746</v>
      </c>
      <c r="H208" s="21">
        <f t="shared" si="117"/>
        <v>-0.6999445436</v>
      </c>
      <c r="I208" s="21" t="s">
        <v>35</v>
      </c>
      <c r="J208" s="21" t="s">
        <v>36</v>
      </c>
      <c r="K208" s="21" t="s">
        <v>39</v>
      </c>
      <c r="L208" s="21" t="s">
        <v>40</v>
      </c>
      <c r="M208" s="28" t="s">
        <v>37</v>
      </c>
      <c r="N208" s="31" t="s">
        <v>0</v>
      </c>
      <c r="O208" s="32" t="s">
        <v>1</v>
      </c>
      <c r="P208" s="32" t="s">
        <v>2</v>
      </c>
      <c r="Q208" s="32" t="s">
        <v>3</v>
      </c>
      <c r="R208" s="32" t="s">
        <v>4</v>
      </c>
      <c r="S208" s="32" t="s">
        <v>5</v>
      </c>
      <c r="T208" s="32" t="s">
        <v>6</v>
      </c>
      <c r="U208" s="32" t="s">
        <v>16</v>
      </c>
    </row>
    <row r="209">
      <c r="A209" s="33">
        <f t="array" ref="A209:A213">A$3:A$7*A208</f>
        <v>-0.07908021296</v>
      </c>
      <c r="B209" s="33">
        <f t="array" ref="B209:B213">B$3:B$7*B208</f>
        <v>0.05389474587</v>
      </c>
      <c r="C209" s="33">
        <f t="array" ref="C209:C213">C$3:C$7*C208</f>
        <v>0.6579348956</v>
      </c>
      <c r="D209" s="33">
        <f t="array" ref="D209:D213">D$3:D$7*D208</f>
        <v>0.53438449</v>
      </c>
      <c r="E209" s="33">
        <f t="array" ref="E209:E213">E$3:E$7*E208</f>
        <v>-1.372305368</v>
      </c>
      <c r="F209" s="33">
        <f t="array" ref="F209:F213">F$3:F$7*F208</f>
        <v>0.1452324628</v>
      </c>
      <c r="G209" s="33">
        <f t="array" ref="G209:G213">G$3:G$7*G208</f>
        <v>2.133294746</v>
      </c>
      <c r="H209" s="33">
        <f t="array" ref="H209:H213">H$3:H$7*H208</f>
        <v>-0.6999445436</v>
      </c>
      <c r="I209" s="33">
        <f t="shared" ref="I209:I213" si="118">SUM(A209:H209)</f>
        <v>1.373411216</v>
      </c>
      <c r="J209" s="33">
        <f t="shared" ref="J209:J213" si="119">1/(1 + EXP(-I209))</f>
        <v>0.7979307277</v>
      </c>
      <c r="K209" s="33">
        <f>J209^I$3 * (1-J209)^(1 - I$3)</f>
        <v>0.7979307277</v>
      </c>
      <c r="L209" s="33">
        <f>I$3*log(J209)+(1-I$3)*log(1-J209)</f>
        <v>-0.09803481023</v>
      </c>
      <c r="M209" s="33">
        <f t="array" ref="M209:M213">J209:J213-I$3:I$7</f>
        <v>-0.2020692723</v>
      </c>
      <c r="N209" s="33">
        <f t="array" ref="N209:N213">$M209:$M213*A$3:A$7</f>
        <v>-0.05051731806</v>
      </c>
      <c r="O209" s="33">
        <f t="array" ref="O209:O213">$M209:$M213*B$3:B$7</f>
        <v>-0.2020692723</v>
      </c>
      <c r="P209" s="33">
        <f t="array" ref="P209:P213">$M209:$M213*C$3:C$7</f>
        <v>-0.0808277089</v>
      </c>
      <c r="Q209" s="33">
        <f t="array" ref="Q209:Q213">$M209:$M213*D$3:D$7</f>
        <v>-0.06735642409</v>
      </c>
      <c r="R209" s="33">
        <f t="array" ref="R209:R213">$M209:$M213*E$3:E$7</f>
        <v>-0.1010346361</v>
      </c>
      <c r="S209" s="33">
        <f t="array" ref="S209:S213">$M209:$M213*F$3:F$7</f>
        <v>-0.02886703889</v>
      </c>
      <c r="T209" s="33">
        <f t="array" ref="T209:T213">$M209:$M213*G$3:G$7</f>
        <v>-0.2020692723</v>
      </c>
      <c r="U209" s="33">
        <f t="array" ref="U209:U213">$M209:$M213*H$3:H$7</f>
        <v>-0.2020692723</v>
      </c>
    </row>
    <row r="210">
      <c r="A210" s="33">
        <v>-0.23724063887127939</v>
      </c>
      <c r="B210" s="33">
        <v>0.0</v>
      </c>
      <c r="C210" s="33">
        <v>1.644837239104266</v>
      </c>
      <c r="D210" s="33">
        <v>1.6031534700255614</v>
      </c>
      <c r="E210" s="33">
        <v>0.0</v>
      </c>
      <c r="F210" s="33">
        <v>0.8713947770627013</v>
      </c>
      <c r="G210" s="33">
        <v>0.0</v>
      </c>
      <c r="H210" s="33">
        <v>-0.6999445436302059</v>
      </c>
      <c r="I210" s="33">
        <f t="shared" si="118"/>
        <v>3.182200304</v>
      </c>
      <c r="J210" s="33">
        <f t="shared" si="119"/>
        <v>0.9601589212</v>
      </c>
      <c r="K210" s="33">
        <f>J210^I$4 * (1-J210)^(1 - I$4)</f>
        <v>0.9601589212</v>
      </c>
      <c r="L210" s="33">
        <f>I$4*log(J210)+(1-I$4)*log(1-J210)</f>
        <v>-0.01765687852</v>
      </c>
      <c r="M210" s="33">
        <v>-0.0398410787741309</v>
      </c>
      <c r="N210" s="33">
        <v>-0.029880809080598175</v>
      </c>
      <c r="O210" s="33">
        <v>0.0</v>
      </c>
      <c r="P210" s="33">
        <v>-0.0398410787741309</v>
      </c>
      <c r="Q210" s="33">
        <v>-0.0398410787741309</v>
      </c>
      <c r="R210" s="33">
        <v>0.0</v>
      </c>
      <c r="S210" s="33">
        <v>-0.0341494960921122</v>
      </c>
      <c r="T210" s="33">
        <v>0.0</v>
      </c>
      <c r="U210" s="33">
        <v>-0.0398410787741309</v>
      </c>
    </row>
    <row r="211">
      <c r="A211" s="33">
        <v>-0.3163208518283725</v>
      </c>
      <c r="B211" s="33">
        <v>0.05389474587455722</v>
      </c>
      <c r="C211" s="33">
        <v>0.0</v>
      </c>
      <c r="D211" s="33">
        <v>0.0</v>
      </c>
      <c r="E211" s="33">
        <v>-2.744610735774103</v>
      </c>
      <c r="F211" s="33">
        <v>0.0</v>
      </c>
      <c r="G211" s="33">
        <v>2.1332947458745575</v>
      </c>
      <c r="H211" s="33">
        <v>-0.6999445436302059</v>
      </c>
      <c r="I211" s="33">
        <f t="shared" si="118"/>
        <v>-1.573686639</v>
      </c>
      <c r="J211" s="33">
        <f t="shared" si="119"/>
        <v>0.1716914671</v>
      </c>
      <c r="K211" s="33">
        <f>J211^I$5 * (1-J211)^(1 - I$5)</f>
        <v>0.8283085329</v>
      </c>
      <c r="L211" s="33">
        <f>I$5*log(J211)+(1-I$5)*log(1-J211)</f>
        <v>-0.08180786467</v>
      </c>
      <c r="M211" s="33">
        <v>0.17169146705237706</v>
      </c>
      <c r="N211" s="33">
        <v>0.17169146705237706</v>
      </c>
      <c r="O211" s="33">
        <v>0.17169146705237706</v>
      </c>
      <c r="P211" s="33">
        <v>0.0</v>
      </c>
      <c r="Q211" s="33">
        <v>0.0</v>
      </c>
      <c r="R211" s="33">
        <v>0.17169146705237706</v>
      </c>
      <c r="S211" s="33">
        <v>0.0</v>
      </c>
      <c r="T211" s="33">
        <v>0.17169146705237706</v>
      </c>
      <c r="U211" s="33">
        <v>0.17169146705237706</v>
      </c>
    </row>
    <row r="212">
      <c r="A212" s="33">
        <v>-0.15816042591418625</v>
      </c>
      <c r="B212" s="33">
        <v>0.05389474587455722</v>
      </c>
      <c r="C212" s="33">
        <v>0.9869023434625596</v>
      </c>
      <c r="D212" s="33">
        <v>1.0687689800170408</v>
      </c>
      <c r="E212" s="33">
        <v>-0.6861526839435258</v>
      </c>
      <c r="F212" s="33">
        <v>1.0166272399064848</v>
      </c>
      <c r="G212" s="33">
        <v>2.1332947458745575</v>
      </c>
      <c r="H212" s="33">
        <v>-0.6999445436302059</v>
      </c>
      <c r="I212" s="33">
        <f t="shared" si="118"/>
        <v>3.715230402</v>
      </c>
      <c r="J212" s="33">
        <f t="shared" si="119"/>
        <v>0.9762289898</v>
      </c>
      <c r="K212" s="33">
        <f>J212^I$6 * (1-J212)^(1 - I$6)</f>
        <v>0.9762289898</v>
      </c>
      <c r="L212" s="33">
        <f>I$6*log(J212)+(1-I$6)*log(1-J212)</f>
        <v>-0.0104482998</v>
      </c>
      <c r="M212" s="33">
        <v>-0.023771010165796636</v>
      </c>
      <c r="N212" s="33">
        <v>-0.011885505082898318</v>
      </c>
      <c r="O212" s="33">
        <v>-0.023771010165796636</v>
      </c>
      <c r="P212" s="33">
        <v>-0.01426260609947798</v>
      </c>
      <c r="Q212" s="33">
        <v>-0.01584734011053109</v>
      </c>
      <c r="R212" s="33">
        <v>-0.005942752541449159</v>
      </c>
      <c r="S212" s="33">
        <v>-0.023771010165796636</v>
      </c>
      <c r="T212" s="33">
        <v>-0.023771010165796636</v>
      </c>
      <c r="U212" s="33">
        <v>-0.023771010165796636</v>
      </c>
    </row>
    <row r="213">
      <c r="A213" s="33">
        <v>0.0</v>
      </c>
      <c r="B213" s="33">
        <v>0.0</v>
      </c>
      <c r="C213" s="33">
        <v>0.32896744782085324</v>
      </c>
      <c r="D213" s="33">
        <v>0.2671922450042602</v>
      </c>
      <c r="E213" s="33">
        <v>-2.0584580518305775</v>
      </c>
      <c r="F213" s="33">
        <v>0.07261623142189177</v>
      </c>
      <c r="G213" s="33">
        <v>0.0</v>
      </c>
      <c r="H213" s="33">
        <v>-0.6999445436302059</v>
      </c>
      <c r="I213" s="33">
        <f t="shared" si="118"/>
        <v>-2.089626671</v>
      </c>
      <c r="J213" s="33">
        <f t="shared" si="119"/>
        <v>0.1101091497</v>
      </c>
      <c r="K213" s="33">
        <f>J213^I$7 * (1-J213)^(1 - I$7)</f>
        <v>0.8898908503</v>
      </c>
      <c r="L213" s="33">
        <f>I$7*log(J213)+(1-I$7)*log(1-J213)</f>
        <v>-0.05066325855</v>
      </c>
      <c r="M213" s="33">
        <v>0.11010914970599414</v>
      </c>
      <c r="N213" s="33">
        <v>0.0</v>
      </c>
      <c r="O213" s="33">
        <v>0.0</v>
      </c>
      <c r="P213" s="33">
        <v>0.02202182994119883</v>
      </c>
      <c r="Q213" s="33">
        <v>0.018351524950999024</v>
      </c>
      <c r="R213" s="33">
        <v>0.0825818622794956</v>
      </c>
      <c r="S213" s="33">
        <v>0.007864939264713867</v>
      </c>
      <c r="T213" s="33">
        <v>0.0</v>
      </c>
      <c r="U213" s="33">
        <v>0.11010914970599414</v>
      </c>
    </row>
    <row r="214">
      <c r="L214" s="21" t="s">
        <v>38</v>
      </c>
      <c r="M214" s="33">
        <f t="array" ref="M214">SQRT(AVERAGE(M209:M213^2))</f>
        <v>0.1300664046</v>
      </c>
      <c r="N214" s="33">
        <f t="shared" ref="N214:U214" si="120">AVERAGE(N209:N213)</f>
        <v>0.01588156696</v>
      </c>
      <c r="O214" s="33">
        <f t="shared" si="120"/>
        <v>-0.01082976307</v>
      </c>
      <c r="P214" s="33">
        <f t="shared" si="120"/>
        <v>-0.02258191277</v>
      </c>
      <c r="Q214" s="33">
        <f t="shared" si="120"/>
        <v>-0.0209386636</v>
      </c>
      <c r="R214" s="33">
        <f t="shared" si="120"/>
        <v>0.02945918813</v>
      </c>
      <c r="S214" s="33">
        <f t="shared" si="120"/>
        <v>-0.01578452118</v>
      </c>
      <c r="T214" s="33">
        <f t="shared" si="120"/>
        <v>-0.01082976307</v>
      </c>
      <c r="U214" s="33">
        <f t="shared" si="120"/>
        <v>0.003223851112</v>
      </c>
    </row>
    <row r="215">
      <c r="A215" s="21">
        <f t="shared" ref="A215:H215" si="121">A208-N214*$B$8</f>
        <v>-0.3322024188</v>
      </c>
      <c r="B215" s="21">
        <f t="shared" si="121"/>
        <v>0.06472450895</v>
      </c>
      <c r="C215" s="21">
        <f t="shared" si="121"/>
        <v>1.667419152</v>
      </c>
      <c r="D215" s="21">
        <f t="shared" si="121"/>
        <v>1.624092134</v>
      </c>
      <c r="E215" s="21">
        <f t="shared" si="121"/>
        <v>-2.774069924</v>
      </c>
      <c r="F215" s="21">
        <f t="shared" si="121"/>
        <v>1.032411761</v>
      </c>
      <c r="G215" s="21">
        <f t="shared" si="121"/>
        <v>2.144124509</v>
      </c>
      <c r="H215" s="21">
        <f t="shared" si="121"/>
        <v>-0.7031683947</v>
      </c>
      <c r="I215" s="21" t="s">
        <v>35</v>
      </c>
      <c r="J215" s="21" t="s">
        <v>36</v>
      </c>
      <c r="K215" s="21" t="s">
        <v>39</v>
      </c>
      <c r="L215" s="21" t="s">
        <v>40</v>
      </c>
      <c r="M215" s="28" t="s">
        <v>37</v>
      </c>
      <c r="N215" s="31" t="s">
        <v>0</v>
      </c>
      <c r="O215" s="32" t="s">
        <v>1</v>
      </c>
      <c r="P215" s="32" t="s">
        <v>2</v>
      </c>
      <c r="Q215" s="32" t="s">
        <v>3</v>
      </c>
      <c r="R215" s="32" t="s">
        <v>4</v>
      </c>
      <c r="S215" s="32" t="s">
        <v>5</v>
      </c>
      <c r="T215" s="32" t="s">
        <v>6</v>
      </c>
      <c r="U215" s="32" t="s">
        <v>16</v>
      </c>
    </row>
    <row r="216">
      <c r="A216" s="33">
        <f t="array" ref="A216:A220">A$3:A$7*A215</f>
        <v>-0.0830506047</v>
      </c>
      <c r="B216" s="33">
        <f t="array" ref="B216:B220">B$3:B$7*B215</f>
        <v>0.06472450895</v>
      </c>
      <c r="C216" s="33">
        <f t="array" ref="C216:C220">C$3:C$7*C215</f>
        <v>0.6669676607</v>
      </c>
      <c r="D216" s="33">
        <f t="array" ref="D216:D220">D$3:D$7*D215</f>
        <v>0.5413640445</v>
      </c>
      <c r="E216" s="33">
        <f t="array" ref="E216:E220">E$3:E$7*E215</f>
        <v>-1.387034962</v>
      </c>
      <c r="F216" s="33">
        <f t="array" ref="F216:F220">F$3:F$7*F215</f>
        <v>0.1474873944</v>
      </c>
      <c r="G216" s="33">
        <f t="array" ref="G216:G220">G$3:G$7*G215</f>
        <v>2.144124509</v>
      </c>
      <c r="H216" s="33">
        <f t="array" ref="H216:H220">H$3:H$7*H215</f>
        <v>-0.7031683947</v>
      </c>
      <c r="I216" s="33">
        <f t="shared" ref="I216:I220" si="122">SUM(A216:H216)</f>
        <v>1.391414156</v>
      </c>
      <c r="J216" s="33">
        <f t="shared" ref="J216:J220" si="123">1/(1 + EXP(-I216))</f>
        <v>0.8008179092</v>
      </c>
      <c r="K216" s="33">
        <f>J216^I$3 * (1-J216)^(1 - I$3)</f>
        <v>0.8008179092</v>
      </c>
      <c r="L216" s="33">
        <f>I$3*log(J216)+(1-I$3)*log(1-J216)</f>
        <v>-0.09646622303</v>
      </c>
      <c r="M216" s="33">
        <f t="array" ref="M216:M220">J216:J220-I$3:I$7</f>
        <v>-0.1991820908</v>
      </c>
      <c r="N216" s="33">
        <f t="array" ref="N216:N220">$M216:$M220*A$3:A$7</f>
        <v>-0.04979552271</v>
      </c>
      <c r="O216" s="33">
        <f t="array" ref="O216:O220">$M216:$M220*B$3:B$7</f>
        <v>-0.1991820908</v>
      </c>
      <c r="P216" s="33">
        <f t="array" ref="P216:P220">$M216:$M220*C$3:C$7</f>
        <v>-0.07967283633</v>
      </c>
      <c r="Q216" s="33">
        <f t="array" ref="Q216:Q220">$M216:$M220*D$3:D$7</f>
        <v>-0.06639403028</v>
      </c>
      <c r="R216" s="33">
        <f t="array" ref="R216:R220">$M216:$M220*E$3:E$7</f>
        <v>-0.09959104541</v>
      </c>
      <c r="S216" s="33">
        <f t="array" ref="S216:S220">$M216:$M220*F$3:F$7</f>
        <v>-0.0284545844</v>
      </c>
      <c r="T216" s="33">
        <f t="array" ref="T216:T220">$M216:$M220*G$3:G$7</f>
        <v>-0.1991820908</v>
      </c>
      <c r="U216" s="33">
        <f t="array" ref="U216:U220">$M216:$M220*H$3:H$7</f>
        <v>-0.1991820908</v>
      </c>
    </row>
    <row r="217">
      <c r="A217" s="33">
        <v>-0.24915181409500636</v>
      </c>
      <c r="B217" s="33">
        <v>0.0</v>
      </c>
      <c r="C217" s="33">
        <v>1.667419151871239</v>
      </c>
      <c r="D217" s="33">
        <v>1.6240921336293697</v>
      </c>
      <c r="E217" s="33">
        <v>0.0</v>
      </c>
      <c r="F217" s="33">
        <v>0.8849243666433175</v>
      </c>
      <c r="G217" s="33">
        <v>0.0</v>
      </c>
      <c r="H217" s="33">
        <v>-0.7031683947426676</v>
      </c>
      <c r="I217" s="33">
        <f t="shared" si="122"/>
        <v>3.224115443</v>
      </c>
      <c r="J217" s="33">
        <f t="shared" si="123"/>
        <v>0.9617317665</v>
      </c>
      <c r="K217" s="33">
        <f>J217^I$4 * (1-J217)^(1 - I$4)</f>
        <v>0.9617317665</v>
      </c>
      <c r="L217" s="33">
        <f>I$4*log(J217)+(1-I$4)*log(1-J217)</f>
        <v>-0.01694603874</v>
      </c>
      <c r="M217" s="33">
        <v>-0.038268233499126336</v>
      </c>
      <c r="N217" s="33">
        <v>-0.028701175124344752</v>
      </c>
      <c r="O217" s="33">
        <v>0.0</v>
      </c>
      <c r="P217" s="33">
        <v>-0.038268233499126336</v>
      </c>
      <c r="Q217" s="33">
        <v>-0.038268233499126336</v>
      </c>
      <c r="R217" s="33">
        <v>0.0</v>
      </c>
      <c r="S217" s="33">
        <v>-0.032801342999251144</v>
      </c>
      <c r="T217" s="33">
        <v>0.0</v>
      </c>
      <c r="U217" s="33">
        <v>-0.038268233499126336</v>
      </c>
    </row>
    <row r="218">
      <c r="A218" s="33">
        <v>-0.33220241879334184</v>
      </c>
      <c r="B218" s="33">
        <v>0.06472450894846817</v>
      </c>
      <c r="C218" s="33">
        <v>0.0</v>
      </c>
      <c r="D218" s="33">
        <v>0.0</v>
      </c>
      <c r="E218" s="33">
        <v>-2.7740699239065743</v>
      </c>
      <c r="F218" s="33">
        <v>0.0</v>
      </c>
      <c r="G218" s="33">
        <v>2.1441245089484684</v>
      </c>
      <c r="H218" s="33">
        <v>-0.7031683947426676</v>
      </c>
      <c r="I218" s="33">
        <f t="shared" si="122"/>
        <v>-1.60059172</v>
      </c>
      <c r="J218" s="33">
        <f t="shared" si="123"/>
        <v>0.1678989301</v>
      </c>
      <c r="K218" s="33">
        <f>J218^I$5 * (1-J218)^(1 - I$5)</f>
        <v>0.8321010699</v>
      </c>
      <c r="L218" s="33">
        <f>I$5*log(J218)+(1-I$5)*log(1-J218)</f>
        <v>-0.07982391961</v>
      </c>
      <c r="M218" s="33">
        <v>0.1678989301454139</v>
      </c>
      <c r="N218" s="33">
        <v>0.1678989301454139</v>
      </c>
      <c r="O218" s="33">
        <v>0.1678989301454139</v>
      </c>
      <c r="P218" s="33">
        <v>0.0</v>
      </c>
      <c r="Q218" s="33">
        <v>0.0</v>
      </c>
      <c r="R218" s="33">
        <v>0.1678989301454139</v>
      </c>
      <c r="S218" s="33">
        <v>0.0</v>
      </c>
      <c r="T218" s="33">
        <v>0.1678989301454139</v>
      </c>
      <c r="U218" s="33">
        <v>0.1678989301454139</v>
      </c>
    </row>
    <row r="219">
      <c r="A219" s="33">
        <v>-0.16610120939667092</v>
      </c>
      <c r="B219" s="33">
        <v>0.06472450894846817</v>
      </c>
      <c r="C219" s="33">
        <v>1.0004514911227433</v>
      </c>
      <c r="D219" s="33">
        <v>1.0827280890862463</v>
      </c>
      <c r="E219" s="33">
        <v>-0.6935174809766436</v>
      </c>
      <c r="F219" s="33">
        <v>1.0324117610838706</v>
      </c>
      <c r="G219" s="33">
        <v>2.1441245089484684</v>
      </c>
      <c r="H219" s="33">
        <v>-0.7031683947426676</v>
      </c>
      <c r="I219" s="33">
        <f t="shared" si="122"/>
        <v>3.761653274</v>
      </c>
      <c r="J219" s="33">
        <f t="shared" si="123"/>
        <v>0.9772827901</v>
      </c>
      <c r="K219" s="33">
        <f>J219^I$6 * (1-J219)^(1 - I$6)</f>
        <v>0.9772827901</v>
      </c>
      <c r="L219" s="33">
        <f>I$6*log(J219)+(1-I$6)*log(1-J219)</f>
        <v>-0.009979749075</v>
      </c>
      <c r="M219" s="33">
        <v>-0.022717209919145165</v>
      </c>
      <c r="N219" s="33">
        <v>-0.011358604959572582</v>
      </c>
      <c r="O219" s="33">
        <v>-0.022717209919145165</v>
      </c>
      <c r="P219" s="33">
        <v>-0.013630325951487098</v>
      </c>
      <c r="Q219" s="33">
        <v>-0.015144806612763443</v>
      </c>
      <c r="R219" s="33">
        <v>-0.005679302479786291</v>
      </c>
      <c r="S219" s="33">
        <v>-0.022717209919145165</v>
      </c>
      <c r="T219" s="33">
        <v>-0.022717209919145165</v>
      </c>
      <c r="U219" s="33">
        <v>-0.022717209919145165</v>
      </c>
    </row>
    <row r="220">
      <c r="A220" s="33">
        <v>0.0</v>
      </c>
      <c r="B220" s="33">
        <v>0.0</v>
      </c>
      <c r="C220" s="33">
        <v>0.3334838303742478</v>
      </c>
      <c r="D220" s="33">
        <v>0.2706820222715616</v>
      </c>
      <c r="E220" s="33">
        <v>-2.080552442929931</v>
      </c>
      <c r="F220" s="33">
        <v>0.07374369722027646</v>
      </c>
      <c r="G220" s="33">
        <v>0.0</v>
      </c>
      <c r="H220" s="33">
        <v>-0.7031683947426676</v>
      </c>
      <c r="I220" s="33">
        <f t="shared" si="122"/>
        <v>-2.105811288</v>
      </c>
      <c r="J220" s="33">
        <f t="shared" si="123"/>
        <v>0.1085332766</v>
      </c>
      <c r="K220" s="33">
        <f>J220^I$7 * (1-J220)^(1 - I$7)</f>
        <v>0.8914667234</v>
      </c>
      <c r="L220" s="33">
        <f>I$7*log(J220)+(1-I$7)*log(1-J220)</f>
        <v>-0.04989486347</v>
      </c>
      <c r="M220" s="33">
        <v>0.10853327655538113</v>
      </c>
      <c r="N220" s="33">
        <v>0.0</v>
      </c>
      <c r="O220" s="33">
        <v>0.0</v>
      </c>
      <c r="P220" s="33">
        <v>0.021706655311076226</v>
      </c>
      <c r="Q220" s="33">
        <v>0.018088879425896855</v>
      </c>
      <c r="R220" s="33">
        <v>0.08139995741653584</v>
      </c>
      <c r="S220" s="33">
        <v>0.007752376896812937</v>
      </c>
      <c r="T220" s="33">
        <v>0.0</v>
      </c>
      <c r="U220" s="33">
        <v>0.10853327655538113</v>
      </c>
    </row>
    <row r="221">
      <c r="L221" s="21" t="s">
        <v>38</v>
      </c>
      <c r="M221" s="33">
        <f t="array" ref="M221">SQRT(AVERAGE(M216:M220^2))</f>
        <v>0.1277681944</v>
      </c>
      <c r="N221" s="33">
        <f t="shared" ref="N221:U221" si="124">AVERAGE(N216:N220)</f>
        <v>0.01560872547</v>
      </c>
      <c r="O221" s="33">
        <f t="shared" si="124"/>
        <v>-0.01080007412</v>
      </c>
      <c r="P221" s="33">
        <f t="shared" si="124"/>
        <v>-0.02197294809</v>
      </c>
      <c r="Q221" s="33">
        <f t="shared" si="124"/>
        <v>-0.02034363819</v>
      </c>
      <c r="R221" s="33">
        <f t="shared" si="124"/>
        <v>0.02880570793</v>
      </c>
      <c r="S221" s="33">
        <f t="shared" si="124"/>
        <v>-0.01524415209</v>
      </c>
      <c r="T221" s="33">
        <f t="shared" si="124"/>
        <v>-0.01080007412</v>
      </c>
      <c r="U221" s="33">
        <f t="shared" si="124"/>
        <v>0.003252934491</v>
      </c>
    </row>
    <row r="222">
      <c r="A222" s="21">
        <f t="shared" ref="A222:H222" si="125">A215-N221*$B$8</f>
        <v>-0.3478111443</v>
      </c>
      <c r="B222" s="21">
        <f t="shared" si="125"/>
        <v>0.07552458307</v>
      </c>
      <c r="C222" s="21">
        <f t="shared" si="125"/>
        <v>1.6893921</v>
      </c>
      <c r="D222" s="21">
        <f t="shared" si="125"/>
        <v>1.644435772</v>
      </c>
      <c r="E222" s="21">
        <f t="shared" si="125"/>
        <v>-2.802875632</v>
      </c>
      <c r="F222" s="21">
        <f t="shared" si="125"/>
        <v>1.047655913</v>
      </c>
      <c r="G222" s="21">
        <f t="shared" si="125"/>
        <v>2.154924583</v>
      </c>
      <c r="H222" s="21">
        <f t="shared" si="125"/>
        <v>-0.7064213292</v>
      </c>
      <c r="I222" s="21" t="s">
        <v>35</v>
      </c>
      <c r="J222" s="21" t="s">
        <v>36</v>
      </c>
      <c r="K222" s="21" t="s">
        <v>39</v>
      </c>
      <c r="L222" s="21" t="s">
        <v>40</v>
      </c>
      <c r="M222" s="28" t="s">
        <v>37</v>
      </c>
      <c r="N222" s="31" t="s">
        <v>0</v>
      </c>
      <c r="O222" s="32" t="s">
        <v>1</v>
      </c>
      <c r="P222" s="32" t="s">
        <v>2</v>
      </c>
      <c r="Q222" s="32" t="s">
        <v>3</v>
      </c>
      <c r="R222" s="32" t="s">
        <v>4</v>
      </c>
      <c r="S222" s="32" t="s">
        <v>5</v>
      </c>
      <c r="T222" s="32" t="s">
        <v>6</v>
      </c>
      <c r="U222" s="32" t="s">
        <v>16</v>
      </c>
    </row>
    <row r="223">
      <c r="A223" s="33">
        <f t="array" ref="A223:A227">A$3:A$7*A222</f>
        <v>-0.08695278607</v>
      </c>
      <c r="B223" s="33">
        <f t="array" ref="B223:B227">B$3:B$7*B222</f>
        <v>0.07552458307</v>
      </c>
      <c r="C223" s="33">
        <f t="array" ref="C223:C227">C$3:C$7*C222</f>
        <v>0.67575684</v>
      </c>
      <c r="D223" s="33">
        <f t="array" ref="D223:D227">D$3:D$7*D222</f>
        <v>0.5481452573</v>
      </c>
      <c r="E223" s="33">
        <f t="array" ref="E223:E227">E$3:E$7*E222</f>
        <v>-1.401437816</v>
      </c>
      <c r="F223" s="33">
        <f t="array" ref="F223:F227">F$3:F$7*F222</f>
        <v>0.1496651305</v>
      </c>
      <c r="G223" s="33">
        <f t="array" ref="G223:G227">G$3:G$7*G222</f>
        <v>2.154924583</v>
      </c>
      <c r="H223" s="33">
        <f t="array" ref="H223:H227">H$3:H$7*H222</f>
        <v>-0.7064213292</v>
      </c>
      <c r="I223" s="33">
        <f t="shared" ref="I223:I227" si="126">SUM(A223:H223)</f>
        <v>1.409204463</v>
      </c>
      <c r="J223" s="33">
        <f t="shared" ref="J223:J227" si="127">1/(1 + EXP(-I223))</f>
        <v>0.8036404362</v>
      </c>
      <c r="K223" s="33">
        <f>J223^I$3 * (1-J223)^(1 - I$3)</f>
        <v>0.8036404362</v>
      </c>
      <c r="L223" s="33">
        <f>I$3*log(J223)+(1-I$3)*log(1-J223)</f>
        <v>-0.0949382193</v>
      </c>
      <c r="M223" s="33">
        <f t="array" ref="M223:M227">J223:J227-I$3:I$7</f>
        <v>-0.1963595638</v>
      </c>
      <c r="N223" s="33">
        <f t="array" ref="N223:N227">$M223:$M227*A$3:A$7</f>
        <v>-0.04908989095</v>
      </c>
      <c r="O223" s="33">
        <f t="array" ref="O223:O227">$M223:$M227*B$3:B$7</f>
        <v>-0.1963595638</v>
      </c>
      <c r="P223" s="33">
        <f t="array" ref="P223:P227">$M223:$M227*C$3:C$7</f>
        <v>-0.07854382553</v>
      </c>
      <c r="Q223" s="33">
        <f t="array" ref="Q223:Q227">$M223:$M227*D$3:D$7</f>
        <v>-0.06545318794</v>
      </c>
      <c r="R223" s="33">
        <f t="array" ref="R223:R227">$M223:$M227*E$3:E$7</f>
        <v>-0.09817978191</v>
      </c>
      <c r="S223" s="33">
        <f t="array" ref="S223:S227">$M223:$M227*F$3:F$7</f>
        <v>-0.02805136626</v>
      </c>
      <c r="T223" s="33">
        <f t="array" ref="T223:T227">$M223:$M227*G$3:G$7</f>
        <v>-0.1963595638</v>
      </c>
      <c r="U223" s="33">
        <f t="array" ref="U223:U227">$M223:$M227*H$3:H$7</f>
        <v>-0.1963595638</v>
      </c>
    </row>
    <row r="224">
      <c r="A224" s="33">
        <v>-0.26085835819823955</v>
      </c>
      <c r="B224" s="33">
        <v>0.0</v>
      </c>
      <c r="C224" s="33">
        <v>1.6893920999652612</v>
      </c>
      <c r="D224" s="33">
        <v>1.644435771821664</v>
      </c>
      <c r="E224" s="33">
        <v>0.0</v>
      </c>
      <c r="F224" s="33">
        <v>0.8979907827162363</v>
      </c>
      <c r="G224" s="33">
        <v>0.0</v>
      </c>
      <c r="H224" s="33">
        <v>-0.7064213292338852</v>
      </c>
      <c r="I224" s="33">
        <f t="shared" si="126"/>
        <v>3.264538967</v>
      </c>
      <c r="J224" s="33">
        <f t="shared" si="127"/>
        <v>0.96319205</v>
      </c>
      <c r="K224" s="33">
        <f>J224^I$4 * (1-J224)^(1 - I$4)</f>
        <v>0.96319205</v>
      </c>
      <c r="L224" s="33">
        <f>I$4*log(J224)+(1-I$4)*log(1-J224)</f>
        <v>-0.01628711064</v>
      </c>
      <c r="M224" s="33">
        <v>-0.03680794997376535</v>
      </c>
      <c r="N224" s="33">
        <v>-0.027605962480324014</v>
      </c>
      <c r="O224" s="33">
        <v>0.0</v>
      </c>
      <c r="P224" s="33">
        <v>-0.03680794997376535</v>
      </c>
      <c r="Q224" s="33">
        <v>-0.03680794997376535</v>
      </c>
      <c r="R224" s="33">
        <v>0.0</v>
      </c>
      <c r="S224" s="33">
        <v>-0.031549671406084584</v>
      </c>
      <c r="T224" s="33">
        <v>0.0</v>
      </c>
      <c r="U224" s="33">
        <v>-0.03680794997376535</v>
      </c>
    </row>
    <row r="225">
      <c r="A225" s="33">
        <v>-0.3478111442643194</v>
      </c>
      <c r="B225" s="33">
        <v>0.07552458306850142</v>
      </c>
      <c r="C225" s="33">
        <v>0.0</v>
      </c>
      <c r="D225" s="33">
        <v>0.0</v>
      </c>
      <c r="E225" s="33">
        <v>-2.8028756318403634</v>
      </c>
      <c r="F225" s="33">
        <v>0.0</v>
      </c>
      <c r="G225" s="33">
        <v>2.1549245830685018</v>
      </c>
      <c r="H225" s="33">
        <v>-0.7064213292338852</v>
      </c>
      <c r="I225" s="33">
        <f t="shared" si="126"/>
        <v>-1.626658939</v>
      </c>
      <c r="J225" s="33">
        <f t="shared" si="127"/>
        <v>0.1642885673</v>
      </c>
      <c r="K225" s="33">
        <f>J225^I$5 * (1-J225)^(1 - I$5)</f>
        <v>0.8357114327</v>
      </c>
      <c r="L225" s="33">
        <f>I$5*log(J225)+(1-I$5)*log(1-J225)</f>
        <v>-0.07794365654</v>
      </c>
      <c r="M225" s="33">
        <v>0.16428856726908653</v>
      </c>
      <c r="N225" s="33">
        <v>0.16428856726908653</v>
      </c>
      <c r="O225" s="33">
        <v>0.16428856726908653</v>
      </c>
      <c r="P225" s="33">
        <v>0.0</v>
      </c>
      <c r="Q225" s="33">
        <v>0.0</v>
      </c>
      <c r="R225" s="33">
        <v>0.16428856726908653</v>
      </c>
      <c r="S225" s="33">
        <v>0.0</v>
      </c>
      <c r="T225" s="33">
        <v>0.16428856726908653</v>
      </c>
      <c r="U225" s="33">
        <v>0.16428856726908653</v>
      </c>
    </row>
    <row r="226">
      <c r="A226" s="33">
        <v>-0.1739055721321597</v>
      </c>
      <c r="B226" s="33">
        <v>0.07552458306850142</v>
      </c>
      <c r="C226" s="33">
        <v>1.0136352599791567</v>
      </c>
      <c r="D226" s="33">
        <v>1.096290514547776</v>
      </c>
      <c r="E226" s="33">
        <v>-0.7007189079600908</v>
      </c>
      <c r="F226" s="33">
        <v>1.0476559131689425</v>
      </c>
      <c r="G226" s="33">
        <v>2.1549245830685018</v>
      </c>
      <c r="H226" s="33">
        <v>-0.7064213292338852</v>
      </c>
      <c r="I226" s="33">
        <f t="shared" si="126"/>
        <v>3.806985045</v>
      </c>
      <c r="J226" s="33">
        <f t="shared" si="127"/>
        <v>0.9782677281</v>
      </c>
      <c r="K226" s="33">
        <f>J226^I$6 * (1-J226)^(1 - I$6)</f>
        <v>0.9782677281</v>
      </c>
      <c r="L226" s="33">
        <f>I$6*log(J226)+(1-I$6)*log(1-J226)</f>
        <v>-0.009542273088</v>
      </c>
      <c r="M226" s="33">
        <v>-0.021732271869469244</v>
      </c>
      <c r="N226" s="33">
        <v>-0.010866135934734622</v>
      </c>
      <c r="O226" s="33">
        <v>-0.021732271869469244</v>
      </c>
      <c r="P226" s="33">
        <v>-0.013039363121681547</v>
      </c>
      <c r="Q226" s="33">
        <v>-0.014488181246312829</v>
      </c>
      <c r="R226" s="33">
        <v>-0.005433067967367311</v>
      </c>
      <c r="S226" s="33">
        <v>-0.021732271869469244</v>
      </c>
      <c r="T226" s="33">
        <v>-0.021732271869469244</v>
      </c>
      <c r="U226" s="33">
        <v>-0.021732271869469244</v>
      </c>
    </row>
    <row r="227">
      <c r="A227" s="33">
        <v>0.0</v>
      </c>
      <c r="B227" s="33">
        <v>0.0</v>
      </c>
      <c r="C227" s="33">
        <v>0.33787841999305224</v>
      </c>
      <c r="D227" s="33">
        <v>0.274072628636944</v>
      </c>
      <c r="E227" s="33">
        <v>-2.1021567238802725</v>
      </c>
      <c r="F227" s="33">
        <v>0.07483256522635302</v>
      </c>
      <c r="G227" s="33">
        <v>0.0</v>
      </c>
      <c r="H227" s="33">
        <v>-0.7064213292338852</v>
      </c>
      <c r="I227" s="33">
        <f t="shared" si="126"/>
        <v>-2.121794439</v>
      </c>
      <c r="J227" s="33">
        <f t="shared" si="127"/>
        <v>0.106996494</v>
      </c>
      <c r="K227" s="33">
        <f>J227^I$7 * (1-J227)^(1 - I$7)</f>
        <v>0.893003506</v>
      </c>
      <c r="L227" s="33">
        <f>I$7*log(J227)+(1-I$7)*log(1-J227)</f>
        <v>-0.04914683604</v>
      </c>
      <c r="M227" s="33">
        <v>0.10699649401269565</v>
      </c>
      <c r="N227" s="33">
        <v>0.0</v>
      </c>
      <c r="O227" s="33">
        <v>0.0</v>
      </c>
      <c r="P227" s="33">
        <v>0.02139929880253913</v>
      </c>
      <c r="Q227" s="33">
        <v>0.01783274900211594</v>
      </c>
      <c r="R227" s="33">
        <v>0.08024737050952174</v>
      </c>
      <c r="S227" s="33">
        <v>0.0076426067151925455</v>
      </c>
      <c r="T227" s="33">
        <v>0.0</v>
      </c>
      <c r="U227" s="33">
        <v>0.10699649401269565</v>
      </c>
    </row>
    <row r="228">
      <c r="L228" s="21" t="s">
        <v>38</v>
      </c>
      <c r="M228" s="33">
        <f t="array" ref="M228">SQRT(AVERAGE(M223:M227^2))</f>
        <v>0.1255573002</v>
      </c>
      <c r="N228" s="33">
        <f t="shared" ref="N228:U228" si="128">AVERAGE(N223:N227)</f>
        <v>0.01534531558</v>
      </c>
      <c r="O228" s="33">
        <f t="shared" si="128"/>
        <v>-0.01076065368</v>
      </c>
      <c r="P228" s="33">
        <f t="shared" si="128"/>
        <v>-0.02139836796</v>
      </c>
      <c r="Q228" s="33">
        <f t="shared" si="128"/>
        <v>-0.01978331403</v>
      </c>
      <c r="R228" s="33">
        <f t="shared" si="128"/>
        <v>0.02818461758</v>
      </c>
      <c r="S228" s="33">
        <f t="shared" si="128"/>
        <v>-0.01473814056</v>
      </c>
      <c r="T228" s="33">
        <f t="shared" si="128"/>
        <v>-0.01076065368</v>
      </c>
      <c r="U228" s="33">
        <f t="shared" si="128"/>
        <v>0.003277055124</v>
      </c>
    </row>
  </sheetData>
  <mergeCells count="1">
    <mergeCell ref="A9:H9"/>
  </mergeCells>
  <drawing r:id="rId1"/>
</worksheet>
</file>